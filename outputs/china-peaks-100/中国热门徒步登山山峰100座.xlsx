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0ec6da01334a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山峰清单" sheetId="1" r:id="R0af5de78a7bc4e0a"/>
    <x:sheet xmlns:r="http://schemas.openxmlformats.org/officeDocument/2006/relationships" name="数据说明" sheetId="2" r:id="R69afc47b773a47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###"/>
    <x:numFmt numFmtId="201" formatCode="0.00000"/>
    <x:numFmt numFmtId="202" formatCode="#,##0"/>
  </x:numFmts>
  <x:fonts count="7">
    <x:font>
      <x:sz val="11"/>
      <x:name val="Carlito"/>
    </x:font>
    <x:font>
      <x:b/>
      <x:sz val="10"/>
      <x:color rgb="FFFFFFFF"/>
      <x:name val="Helvetica Neue"/>
    </x:font>
    <x:font>
      <x:sz val="10"/>
      <x:name val="Helvetica Neue"/>
    </x:font>
    <x:font>
      <x:b/>
      <x:sz val="14"/>
      <x:color rgb="FF193F3A"/>
      <x:name val="Helvetica Neue"/>
    </x:font>
    <x:font>
      <x:i/>
      <x:sz val="9"/>
      <x:color rgb="FF52625B"/>
      <x:name val="Helvetica Neue"/>
    </x:font>
    <x:font>
      <x:b/>
      <x:sz val="11"/>
      <x:color rgb="FF1D2D2A"/>
      <x:name val="Helvetica Neue"/>
    </x:font>
    <x:font>
      <x:b/>
      <x:sz val="10"/>
      <x:name val="Helvetica Neue"/>
    </x:font>
  </x:fonts>
  <x:fills count="3">
    <x:fill>
      <x:patternFill patternType="none"/>
    </x:fill>
    <x:fill>
      <x:patternFill patternType="gray125"/>
    </x:fill>
    <x:fill>
      <x:patternFill patternType="solid">
        <x:fgColor rgb="FF255E54"/>
      </x:patternFill>
    </x:fill>
  </x:fills>
  <x:borders count="5">
    <x:border>
      <x:left/>
      <x:right/>
      <x:top/>
      <x:bottom/>
      <x:diagonal/>
    </x:border>
    <x:border>
      <x:left/>
      <x:right style="thin">
        <x:color rgb="FFFFFFFF"/>
      </x:right>
      <x:top/>
      <x:bottom style="thin">
        <x:color rgb="FFFFFFFF"/>
      </x:bottom>
      <x:diagonal/>
    </x:border>
    <x:border>
      <x:left style="thin">
        <x:color rgb="FFFFFFFF"/>
      </x:left>
      <x:right style="thin">
        <x:color rgb="FFFFFFFF"/>
      </x:right>
      <x:top/>
      <x:bottom style="thin">
        <x:color rgb="FFFFFFFF"/>
      </x:bottom>
      <x:diagonal/>
    </x:border>
    <x:border>
      <x:left style="thin">
        <x:color rgb="FFFFFFFF"/>
      </x:left>
      <x:right/>
      <x:top/>
      <x:bottom style="thin">
        <x:color rgb="FFFFFFFF"/>
      </x:bottom>
      <x:diagonal/>
    </x:border>
    <x:border>
      <x:left/>
      <x:right/>
      <x:top/>
      <x:bottom style="thin">
        <x:color rgb="FFDCE4DA"/>
      </x:bottom>
      <x:diagonal/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0" fillId="0" borderId="4" xfId="0" applyNumberFormat="1" applyFont="1" applyFill="1" applyBorder="1"/>
    <x:xf numFmtId="0" fontId="2" fillId="0" borderId="0" xfId="0" applyNumberFormat="1" applyFont="1" applyFill="1" applyBorder="1" applyAlignment="1">
      <x:alignment horizontal="center" vertical="center"/>
    </x:xf>
    <x:xf numFmtId="20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horizontal="right" vertical="center"/>
    </x:xf>
    <x:xf numFmtId="201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horizontal="right"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202" fontId="2" fillId="0" borderId="0" xfId="0" applyNumberFormat="1" applyFont="1" applyFill="1" applyBorder="1"/>
    <x:xf numFmtId="202" fontId="2" fillId="0" borderId="0" xfId="0" applyNumberFormat="1" applyFont="1" applyFill="1" applyBorder="1" applyAlignment="1">
      <x:alignment horizontal="right"/>
    </x:xf>
    <x:xf numFmtId="0" fontId="6" fillId="0" borderId="0" xfId="0" applyNumberFormat="1" applyFont="1" applyFill="1" applyBorder="1"/>
    <x:xf numFmtId="202" fontId="6" fillId="0" borderId="0" xfId="0" applyNumberFormat="1" applyFont="1" applyFill="1" applyBorder="1" applyAlignment="1">
      <x:alignment horizontal="right"/>
    </x:xf>
    <x:xf numFmtId="0" fontId="2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/>
    </x:xf>
    <x:xf numFmtId="200" fontId="2" fillId="0" borderId="0" xfId="0" applyNumberFormat="1" applyFont="1" applyFill="1" applyBorder="1"/>
    <x:xf numFmtId="200" fontId="2" fillId="0" borderId="0" xfId="0" applyNumberFormat="1" applyFont="1" applyFill="1" applyBorder="1" applyAlignment="1">
      <x:alignment horizontal="right"/>
    </x:xf>
  </x:cellXfs>
  <x:cellStyles count="1">
    <x:cellStyle name="Normal" xfId="0"/>
  </x:cellStyles>
  <x:dxfs count="2">
    <x:dxf>
      <x:font>
        <x:b/>
        <x:color rgb="FFA8391C"/>
      </x:font>
      <x:fill>
        <x:patternFill patternType="solid">
          <x:bgColor rgb="FFF6DED6"/>
        </x:patternFill>
      </x:fill>
    </x:dxf>
    <x:dxf>
      <x:font>
        <x:color rgb="FF1D4D3F"/>
      </x:font>
      <x:fill>
        <x:patternFill patternType="solid">
          <x:bgColor rgb="FFE8F1E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a6fa02f4f949bd" /><Relationship Type="http://schemas.openxmlformats.org/officeDocument/2006/relationships/theme" Target="/xl/theme/theme1.xml" Id="R286faea420764c90" /><Relationship Type="http://schemas.openxmlformats.org/officeDocument/2006/relationships/sharedStrings" Target="/xl/sharedStrings.xml" Id="R1beea5aa35a8408b" /><Relationship Type="http://schemas.openxmlformats.org/officeDocument/2006/relationships/worksheet" Target="/xl/worksheets/sheet1.xml" Id="R0af5de78a7bc4e0a" /><Relationship Type="http://schemas.openxmlformats.org/officeDocument/2006/relationships/worksheet" Target="/xl/worksheets/sheet2.xml" Id="R69afc47b773a4717" /></Relationships>
</file>

<file path=xl/tables/table1.xml><?xml version="1.0" encoding="utf-8"?>
<x:table xmlns:x="http://schemas.openxmlformats.org/spreadsheetml/2006/main" id="1" name="PeaksTable" displayName="PeaksTable" ref="B5:P105" headerRowCount="1" totalsRowCount="0" totalsRowShown="0">
  <x:autoFilter ref="B5:P105"/>
  <x:tableColumns count="15">
    <x:tableColumn id="1" name="序号"/>
    <x:tableColumn id="2" name="山峰名称"/>
    <x:tableColumn id="3" name="所在地（省 · 市/县）"/>
    <x:tableColumn id="4" name="区域分组"/>
    <x:tableColumn id="5" name="所属山脉"/>
    <x:tableColumn id="6" name="海拔（米）"/>
    <x:tableColumn id="7" name="纬度"/>
    <x:tableColumn id="8" name="经度"/>
    <x:tableColumn id="9" name="简介"/>
    <x:tableColumn id="10" name="热度等级"/>
    <x:tableColumn id="11" name="年登顶或到访人次"/>
    <x:tableColumn id="12" name="常规登顶路线"/>
    <x:tableColumn id="13" name="平均登顶时间"/>
    <x:tableColumn id="14" name="坐标来源"/>
    <x:tableColumn id="15" name="数据来源与口径"/>
  </x:tableColumns>
  <x:tableStyleInfo name="TableStyleLight8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a9fb23fffa74616" /></Relationships>
</file>

<file path=xl/worksheets/sheet1.xml><?xml version="1.0" encoding="utf-8"?>
<x:worksheet xmlns:x="http://schemas.openxmlformats.org/spreadsheetml/2006/main">
  <x:sheetPr>
    <x:tabColor rgb="FF255E54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2" max="2" width="6" hidden="0" customWidth="1"/>
    <x:col min="3" max="3" width="16" hidden="0" customWidth="1"/>
    <x:col min="4" max="4" width="22" hidden="0" customWidth="1"/>
    <x:col min="5" max="5" width="10" hidden="0" customWidth="1"/>
    <x:col min="6" max="6" width="12" hidden="0" customWidth="1"/>
    <x:col min="7" max="7" width="9" hidden="0" customWidth="1"/>
    <x:col min="8" max="8" width="11" hidden="0" customWidth="1"/>
    <x:col min="9" max="9" width="11" hidden="0" customWidth="1"/>
    <x:col min="10" max="10" width="52" hidden="0" customWidth="1"/>
    <x:col min="11" max="11" width="10" hidden="0" customWidth="1"/>
    <x:col min="12" max="12" width="42" hidden="0" customWidth="1"/>
    <x:col min="13" max="13" width="30" hidden="0" customWidth="1"/>
    <x:col min="14" max="14" width="20" hidden="0" customWidth="1"/>
    <x:col min="15" max="15" width="18" hidden="0" customWidth="1"/>
    <x:col min="16" max="16" width="34" hidden="0" customWidth="1"/>
  </x:cols>
  <x:sheetData>
    <x:row r="2">
      <x:c r="B2" s="14" t="str">
        <x:v>中国热门徒步登山山峰 100 座</x:v>
      </x:c>
    </x:row>
    <x:row r="3">
      <x:c r="B3" s="15" t="str">
        <x:v>按名山大川与大城市周边热门徒步线路整理，坐标为 WGS84，热度为近年公开数据或估算（口径见「数据说明」）；整理日期 2026-10-15</x:v>
      </x:c>
    </x:row>
    <x:row r="4">
      <x:c r="B4" s="16"/>
      <x:c r="C4" s="16"/>
      <x:c r="D4" s="16"/>
      <x:c r="E4" s="16"/>
      <x:c r="F4" s="16"/>
      <x:c r="G4" s="16"/>
      <x:c r="H4" s="16"/>
      <x:c r="I4" s="16"/>
      <x:c r="J4" s="16"/>
      <x:c r="K4" s="16"/>
      <x:c r="L4" s="16"/>
      <x:c r="M4" s="16"/>
      <x:c r="N4" s="16"/>
      <x:c r="O4" s="16"/>
      <x:c r="P4" s="16"/>
    </x:row>
    <x:row r="5" ht="34" customHeight="1">
      <x:c r="B5" s="9" t="str">
        <x:v>序号</x:v>
      </x:c>
      <x:c r="C5" s="10" t="str">
        <x:v>山峰名称</x:v>
      </x:c>
      <x:c r="D5" s="10" t="str">
        <x:v>所在地（省 · 市/县）</x:v>
      </x:c>
      <x:c r="E5" s="10" t="str">
        <x:v>区域分组</x:v>
      </x:c>
      <x:c r="F5" s="10" t="str">
        <x:v>所属山脉</x:v>
      </x:c>
      <x:c r="G5" s="10" t="str">
        <x:v>海拔（米）</x:v>
      </x:c>
      <x:c r="H5" s="10" t="str">
        <x:v>纬度</x:v>
      </x:c>
      <x:c r="I5" s="10" t="str">
        <x:v>经度</x:v>
      </x:c>
      <x:c r="J5" s="10" t="str">
        <x:v>简介</x:v>
      </x:c>
      <x:c r="K5" s="10" t="str">
        <x:v>热度等级</x:v>
      </x:c>
      <x:c r="L5" s="10" t="str">
        <x:v>年登顶或到访人次</x:v>
      </x:c>
      <x:c r="M5" s="10" t="str">
        <x:v>常规登顶路线</x:v>
      </x:c>
      <x:c r="N5" s="10" t="str">
        <x:v>平均登顶时间</x:v>
      </x:c>
      <x:c r="O5" s="10" t="str">
        <x:v>坐标来源</x:v>
      </x:c>
      <x:c r="P5" s="11" t="str">
        <x:v>数据来源与口径</x:v>
      </x:c>
    </x:row>
    <x:row r="6" ht="48" customHeight="1">
      <x:c r="B6" s="17" t="n">
        <x:v>1</x:v>
      </x:c>
      <x:c r="C6" s="13" t="str">
        <x:v>东灵山</x:v>
      </x:c>
      <x:c r="D6" s="13" t="str">
        <x:v>北京 · 门头沟</x:v>
      </x:c>
      <x:c r="E6" s="17" t="str">
        <x:v>北京周边</x:v>
      </x:c>
      <x:c r="F6" s="17" t="str">
        <x:v>太行山北段（西山）</x:v>
      </x:c>
      <x:c r="G6" s="19" t="n">
        <x:v>2303</x:v>
      </x:c>
      <x:c r="H6" s="21" t="n">
        <x:v>40.03425</x:v>
      </x:c>
      <x:c r="I6" s="21" t="n">
        <x:v>115.46151</x:v>
      </x:c>
      <x:c r="J6" s="23" t="str">
        <x:v>北京最高峰，京西屋脊，山顶亚高山草甸与落叶松林相间，可俯瞰灵山大峡谷；冬季雾凇与雪原是京郊最稳的雪景线。</x:v>
      </x:c>
      <x:c r="K6" s="17" t="str">
        <x:v>极热</x:v>
      </x:c>
      <x:c r="L6" s="23" t="str">
        <x:v>年徒步到访 20 万人次以上（估算）</x:v>
      </x:c>
      <x:c r="M6" s="23" t="str">
        <x:v>江水河村 → 灵山主峰</x:v>
      </x:c>
      <x:c r="N6" s="23" t="str">
        <x:v>3–4 小时（单程登顶）</x:v>
      </x:c>
      <x:c r="O6" s="17" t="str">
        <x:v>Wikidata</x:v>
      </x:c>
      <x:c r="P6" s="23" t="str">
        <x:v>公开数据不足，按平台活跃度与游客量推算（估算）</x:v>
      </x:c>
    </x:row>
    <x:row r="7" ht="48" customHeight="1">
      <x:c r="B7" s="17" t="n">
        <x:v>2</x:v>
      </x:c>
      <x:c r="C7" s="13" t="str">
        <x:v>海坨山</x:v>
      </x:c>
      <x:c r="D7" s="13" t="str">
        <x:v>北京 · 延庆</x:v>
      </x:c>
      <x:c r="E7" s="17" t="str">
        <x:v>北京周边</x:v>
      </x:c>
      <x:c r="F7" s="17" t="str">
        <x:v>燕山（军都山）</x:v>
      </x:c>
      <x:c r="G7" s="19" t="n">
        <x:v>2241</x:v>
      </x:c>
      <x:c r="H7" s="21" t="n">
        <x:v>40.58257</x:v>
      </x:c>
      <x:c r="I7" s="21" t="n">
        <x:v>115.72306</x:v>
      </x:c>
      <x:c r="J7" s="23" t="str">
        <x:v>京北经典重装两日线，主峰草甸开阔、秋季金黄；冬奥高山滑雪赛场位于南麓，山顶可望官厅水库。</x:v>
      </x:c>
      <x:c r="K7" s="17" t="str">
        <x:v>极热</x:v>
      </x:c>
      <x:c r="L7" s="23" t="str">
        <x:v>年徒步到访 10–15 万人次（估算）</x:v>
      </x:c>
      <x:c r="M7" s="23" t="str">
        <x:v>大海坨村 → 主峰（重装两日）</x:v>
      </x:c>
      <x:c r="N7" s="23" t="str">
        <x:v>4–5 小时登顶（常规两日行程）</x:v>
      </x:c>
      <x:c r="O7" s="17" t="str">
        <x:v>Wikidata</x:v>
      </x:c>
      <x:c r="P7" s="23" t="str">
        <x:v>公开数据不足，按平台活跃度与游客量推算（估算）</x:v>
      </x:c>
    </x:row>
    <x:row r="8" ht="48" customHeight="1">
      <x:c r="B8" s="17" t="n">
        <x:v>3</x:v>
      </x:c>
      <x:c r="C8" s="13" t="str">
        <x:v>香山</x:v>
      </x:c>
      <x:c r="D8" s="13" t="str">
        <x:v>北京 · 海淀</x:v>
      </x:c>
      <x:c r="E8" s="17" t="str">
        <x:v>北京周边</x:v>
      </x:c>
      <x:c r="F8" s="17" t="str">
        <x:v>西山</x:v>
      </x:c>
      <x:c r="G8" s="19" t="n">
        <x:v>557</x:v>
      </x:c>
      <x:c r="H8" s="21" t="n">
        <x:v>39.99107</x:v>
      </x:c>
      <x:c r="I8" s="21" t="n">
        <x:v>116.1723</x:v>
      </x:c>
      <x:c r="J8" s="23" t="str">
        <x:v>北京最经典的城市登山公园，香炉峰（鬼见愁）为最高点，登山石阶 2000 余级，秋季红叶闻名全国。</x:v>
      </x:c>
      <x:c r="K8" s="17" t="str">
        <x:v>极热</x:v>
      </x:c>
      <x:c r="L8" s="23" t="str">
        <x:v>年入园 600 万人次以上（估算）</x:v>
      </x:c>
      <x:c r="M8" s="23" t="str">
        <x:v>香山公园东门 → 香炉峰</x:v>
      </x:c>
      <x:c r="N8" s="23" t="str">
        <x:v>1–1.5 小时</x:v>
      </x:c>
      <x:c r="O8" s="17" t="str">
        <x:v>OSM 香炉峰</x:v>
      </x:c>
      <x:c r="P8" s="23" t="str">
        <x:v>公开数据不足，按平台活跃度与游客量推算（估算）</x:v>
      </x:c>
    </x:row>
    <x:row r="9" ht="48" customHeight="1">
      <x:c r="B9" s="17" t="n">
        <x:v>4</x:v>
      </x:c>
      <x:c r="C9" s="13" t="str">
        <x:v>百花山</x:v>
      </x:c>
      <x:c r="D9" s="13" t="str">
        <x:v>北京 · 房山 / 门头沟</x:v>
      </x:c>
      <x:c r="E9" s="17" t="str">
        <x:v>北京周边</x:v>
      </x:c>
      <x:c r="F9" s="17" t="str">
        <x:v>西山</x:v>
      </x:c>
      <x:c r="G9" s="19" t="n">
        <x:v>1991</x:v>
      </x:c>
      <x:c r="H9" s="21" t="n">
        <x:v>39.85611</x:v>
      </x:c>
      <x:c r="I9" s="21" t="n">
        <x:v>115.61083</x:v>
      </x:c>
      <x:c r="J9" s="23" t="str">
        <x:v>华北植物种类最丰富的山地之一，山顶百花草甸夏季野花连片，与白草畔（2035 米）遥相呼应。</x:v>
      </x:c>
      <x:c r="K9" s="17" t="str">
        <x:v>热门</x:v>
      </x:c>
      <x:c r="L9" s="23" t="str">
        <x:v>年游览/徒步 5–10 万人次（估算）</x:v>
      </x:c>
      <x:c r="M9" s="23" t="str">
        <x:v>房山史家营 百花山景区 → 主峰</x:v>
      </x:c>
      <x:c r="N9" s="23" t="str">
        <x:v>2.5–4 小时</x:v>
      </x:c>
      <x:c r="O9" s="17" t="str">
        <x:v>Wikidata</x:v>
      </x:c>
      <x:c r="P9" s="23" t="str">
        <x:v>公开数据不足，按平台活跃度与游客量推算（估算）</x:v>
      </x:c>
    </x:row>
    <x:row r="10" ht="48" customHeight="1">
      <x:c r="B10" s="17" t="n">
        <x:v>5</x:v>
      </x:c>
      <x:c r="C10" s="13" t="str">
        <x:v>雾灵山</x:v>
      </x:c>
      <x:c r="D10" s="13" t="str">
        <x:v>北京 · 密云 / 河北兴隆</x:v>
      </x:c>
      <x:c r="E10" s="17" t="str">
        <x:v>北京周边</x:v>
      </x:c>
      <x:c r="F10" s="17" t="str">
        <x:v>燕山</x:v>
      </x:c>
      <x:c r="G10" s="19" t="n">
        <x:v>2118</x:v>
      </x:c>
      <x:c r="H10" s="21" t="n">
        <x:v>40.5939</x:v>
      </x:c>
      <x:c r="I10" s="21" t="n">
        <x:v>117.5086</x:v>
      </x:c>
      <x:c r="J10" s="23" t="str">
        <x:v>华北保存最好的天然林区之一，因清代东陵后龙风水禁地封禁 250 余年而林相完整，山顶常现云海。</x:v>
      </x:c>
      <x:c r="K10" s="17" t="str">
        <x:v>较热</x:v>
      </x:c>
      <x:c r="L10" s="23" t="str">
        <x:v>年游览/徒步 3–5 万人次（估算）</x:v>
      </x:c>
      <x:c r="M10" s="23" t="str">
        <x:v>兴隆县 雾灵山景区 → 主峰</x:v>
      </x:c>
      <x:c r="N10" s="23" t="str">
        <x:v>3–4 小时</x:v>
      </x:c>
      <x:c r="O10" s="17" t="str">
        <x:v>Wikidata</x:v>
      </x:c>
      <x:c r="P10" s="23" t="str">
        <x:v>公开数据不足，按平台活跃度与游客量推算（估算）</x:v>
      </x:c>
    </x:row>
    <x:row r="11" ht="48" customHeight="1">
      <x:c r="B11" s="17" t="n">
        <x:v>6</x:v>
      </x:c>
      <x:c r="C11" s="13" t="str">
        <x:v>盘山</x:v>
      </x:c>
      <x:c r="D11" s="13" t="str">
        <x:v>天津 · 蓟州</x:v>
      </x:c>
      <x:c r="E11" s="17" t="str">
        <x:v>京津周边</x:v>
      </x:c>
      <x:c r="F11" s="17" t="str">
        <x:v>燕山</x:v>
      </x:c>
      <x:c r="G11" s="19" t="n">
        <x:v>864</x:v>
      </x:c>
      <x:c r="H11" s="21" t="n">
        <x:v>40.08333</x:v>
      </x:c>
      <x:c r="I11" s="21" t="n">
        <x:v>117.26667</x:v>
      </x:c>
      <x:c r="J11" s="23" t="str">
        <x:v>“早知有盘山，何必下江南”，上盘松、中盘石、下盘水，乾隆行宫所在，是津门徒步首选。</x:v>
      </x:c>
      <x:c r="K11" s="17" t="str">
        <x:v>热门</x:v>
      </x:c>
      <x:c r="L11" s="23" t="str">
        <x:v>年游客 100 万人次以上（估算）</x:v>
      </x:c>
      <x:c r="M11" s="23" t="str">
        <x:v>天成寺 → 万松寺 → 挂月峰</x:v>
      </x:c>
      <x:c r="N11" s="23" t="str">
        <x:v>2–3 小时</x:v>
      </x:c>
      <x:c r="O11" s="17" t="str">
        <x:v>Wikidata</x:v>
      </x:c>
      <x:c r="P11" s="23" t="str">
        <x:v>公开数据不足，按平台活跃度与游客量推算（估算）</x:v>
      </x:c>
    </x:row>
    <x:row r="12" ht="48" customHeight="1">
      <x:c r="B12" s="17" t="n">
        <x:v>7</x:v>
      </x:c>
      <x:c r="C12" s="13" t="str">
        <x:v>小五台山</x:v>
      </x:c>
      <x:c r="D12" s="13" t="str">
        <x:v>河北 · 张家口蔚县</x:v>
      </x:c>
      <x:c r="E12" s="17" t="str">
        <x:v>京津周边</x:v>
      </x:c>
      <x:c r="F12" s="17" t="str">
        <x:v>太行山北段</x:v>
      </x:c>
      <x:c r="G12" s="19" t="n">
        <x:v>2882</x:v>
      </x:c>
      <x:c r="H12" s="21" t="n">
        <x:v>39.8672</x:v>
      </x:c>
      <x:c r="I12" s="21" t="n">
        <x:v>115.011</x:v>
      </x:c>
      <x:c r="J12" s="23" t="str">
        <x:v>华北第二高峰，五座台顶相连，冰缘地貌与高山草甸并存，冬季冰壁攀登、夏季穿越都极负盛名。</x:v>
      </x:c>
      <x:c r="K12" s="17" t="str">
        <x:v>热门</x:v>
      </x:c>
      <x:c r="L12" s="23" t="str">
        <x:v>年进山徒步 3–6 万人次（估算，部分年份封控）</x:v>
      </x:c>
      <x:c r="M12" s="23" t="str">
        <x:v>赤崖堡 → 东台 / 北台</x:v>
      </x:c>
      <x:c r="N12" s="23" t="str">
        <x:v>6–9 小时（常见两日穿越）</x:v>
      </x:c>
      <x:c r="O12" s="17" t="str">
        <x:v>Wikidata</x:v>
      </x:c>
      <x:c r="P12" s="23" t="str">
        <x:v>公开数据不足，按平台活跃度与游客量推算（估算）</x:v>
      </x:c>
    </x:row>
    <x:row r="13" ht="48" customHeight="1">
      <x:c r="B13" s="17" t="n">
        <x:v>8</x:v>
      </x:c>
      <x:c r="C13" s="13" t="str">
        <x:v>狼牙山</x:v>
      </x:c>
      <x:c r="D13" s="13" t="str">
        <x:v>河北 · 保定易县</x:v>
      </x:c>
      <x:c r="E13" s="17" t="str">
        <x:v>京津周边</x:v>
      </x:c>
      <x:c r="F13" s="17" t="str">
        <x:v>太行山北段</x:v>
      </x:c>
      <x:c r="G13" s="19" t="n">
        <x:v>1105</x:v>
      </x:c>
      <x:c r="H13" s="21" t="n">
        <x:v>39.2139</x:v>
      </x:c>
      <x:c r="I13" s="21" t="n">
        <x:v>115.2961</x:v>
      </x:c>
      <x:c r="J13" s="23" t="str">
        <x:v>五味壮士跳崖处，石灰岩峰群尖锐如狼牙，山势陡峭，红色纪念地与徒步古道并存。</x:v>
      </x:c>
      <x:c r="K13" s="17" t="str">
        <x:v>热门</x:v>
      </x:c>
      <x:c r="L13" s="23" t="str">
        <x:v>年游客 100 万人次以上（估算）</x:v>
      </x:c>
      <x:c r="M13" s="23" t="str">
        <x:v>狼牙山景区 → 五勇士纪念塔 → 主峰</x:v>
      </x:c>
      <x:c r="N13" s="23" t="str">
        <x:v>2–3 小时</x:v>
      </x:c>
      <x:c r="O13" s="17" t="str">
        <x:v>手工核对</x:v>
      </x:c>
      <x:c r="P13" s="23" t="str">
        <x:v>公开数据不足，按平台活跃度与游客量推算（估算）</x:v>
      </x:c>
    </x:row>
    <x:row r="14" ht="48" customHeight="1">
      <x:c r="B14" s="17" t="n">
        <x:v>9</x:v>
      </x:c>
      <x:c r="C14" s="13" t="str">
        <x:v>泰山</x:v>
      </x:c>
      <x:c r="D14" s="13" t="str">
        <x:v>山东 · 泰安</x:v>
      </x:c>
      <x:c r="E14" s="17" t="str">
        <x:v>山东</x:v>
      </x:c>
      <x:c r="F14" s="17" t="str">
        <x:v>泰山（鲁中山地）</x:v>
      </x:c>
      <x:c r="G14" s="19" t="n">
        <x:v>1532.7</x:v>
      </x:c>
      <x:c r="H14" s="21" t="n">
        <x:v>36.256</x:v>
      </x:c>
      <x:c r="I14" s="21" t="n">
        <x:v>117.101</x:v>
      </x:c>
      <x:c r="J14" s="23" t="str">
        <x:v>五岳之首、世界文化与自然双遗产。红门—中天门—十八盘—玉皇顶为最经典古道，日出、云海、晚霞、黄河金带并称四景。</x:v>
      </x:c>
      <x:c r="K14" s="17" t="str">
        <x:v>极热</x:v>
      </x:c>
      <x:c r="L14" s="23" t="str">
        <x:v>2024 年接待游客 941.09 万人次，其中购票进山 806.29 万人次，连续两年超 800 万</x:v>
      </x:c>
      <x:c r="M14" s="23" t="str">
        <x:v>红门宫 → 中天门 → 十八盘 → 玉皇顶</x:v>
      </x:c>
      <x:c r="N14" s="23" t="str">
        <x:v>4–6 小时（夜爬常见 5 小时）</x:v>
      </x:c>
      <x:c r="O14" s="17" t="str">
        <x:v>手工核对 玉皇顶</x:v>
      </x:c>
      <x:c r="P14" s="23" t="str">
        <x:v>泰安市 2024 年统计公报、泰安市文旅局</x:v>
      </x:c>
    </x:row>
    <x:row r="15" ht="48" customHeight="1">
      <x:c r="B15" s="17" t="n">
        <x:v>10</x:v>
      </x:c>
      <x:c r="C15" s="13" t="str">
        <x:v>崂山</x:v>
      </x:c>
      <x:c r="D15" s="13" t="str">
        <x:v>山东 · 青岛</x:v>
      </x:c>
      <x:c r="E15" s="17" t="str">
        <x:v>山东</x:v>
      </x:c>
      <x:c r="F15" s="17" t="str">
        <x:v>崂山（花岗岩海岸山地）</x:v>
      </x:c>
      <x:c r="G15" s="19" t="n">
        <x:v>1132.7</x:v>
      </x:c>
      <x:c r="H15" s="21" t="n">
        <x:v>36.19167</x:v>
      </x:c>
      <x:c r="I15" s="21" t="n">
        <x:v>120.59167</x:v>
      </x:c>
      <x:c r="J15" s="23" t="str">
        <x:v>海上第一名山，巨峰为最高点，道教全真派祖庭太清宫在此，海岸线山脊步道是青岛的城市后山。</x:v>
      </x:c>
      <x:c r="K15" s="17" t="str">
        <x:v>极热</x:v>
      </x:c>
      <x:c r="L15" s="23" t="str">
        <x:v>年游客 400 万人次以上（估算）</x:v>
      </x:c>
      <x:c r="M15" s="23" t="str">
        <x:v>巨峰景区 索道下站 → 灵旗峰 → 巨峰</x:v>
      </x:c>
      <x:c r="N15" s="23" t="str">
        <x:v>3–4 小时</x:v>
      </x:c>
      <x:c r="O15" s="17" t="str">
        <x:v>Wikidata</x:v>
      </x:c>
      <x:c r="P15" s="23" t="str">
        <x:v>公开数据不足，按平台活跃度与游客量推算（估算）</x:v>
      </x:c>
    </x:row>
    <x:row r="16" ht="48" customHeight="1">
      <x:c r="B16" s="17" t="n">
        <x:v>11</x:v>
      </x:c>
      <x:c r="C16" s="13" t="str">
        <x:v>千佛山</x:v>
      </x:c>
      <x:c r="D16" s="13" t="str">
        <x:v>山东 · 济南</x:v>
      </x:c>
      <x:c r="E16" s="17" t="str">
        <x:v>山东</x:v>
      </x:c>
      <x:c r="F16" s="17" t="str">
        <x:v>泰山北麓</x:v>
      </x:c>
      <x:c r="G16" s="19" t="n">
        <x:v>285</x:v>
      </x:c>
      <x:c r="H16" s="21" t="n">
        <x:v>36.63645</x:v>
      </x:c>
      <x:c r="I16" s="21" t="n">
        <x:v>117.02959</x:v>
      </x:c>
      <x:c r="J16" s="23" t="str">
        <x:v>济南三大名胜之一，隋代造像群所在，登顶可览泉城全景，是济南市民晨练登山的第一选择。</x:v>
      </x:c>
      <x:c r="K16" s="17" t="str">
        <x:v>极热</x:v>
      </x:c>
      <x:c r="L16" s="23" t="str">
        <x:v>年游客 300 万人次以上（估算）</x:v>
      </x:c>
      <x:c r="M16" s="23" t="str">
        <x:v>千佛山正门 → 兴国禅寺 → 山顶</x:v>
      </x:c>
      <x:c r="N16" s="23" t="str">
        <x:v>40–60 分钟</x:v>
      </x:c>
      <x:c r="O16" s="17" t="str">
        <x:v>OSM</x:v>
      </x:c>
      <x:c r="P16" s="23" t="str">
        <x:v>公开数据不足，按平台活跃度与游客量推算（估算）</x:v>
      </x:c>
    </x:row>
    <x:row r="17" ht="48" customHeight="1">
      <x:c r="B17" s="17" t="n">
        <x:v>12</x:v>
      </x:c>
      <x:c r="C17" s="13" t="str">
        <x:v>蒙山（龟蒙顶）</x:v>
      </x:c>
      <x:c r="D17" s="13" t="str">
        <x:v>山东 · 临沂平邑</x:v>
      </x:c>
      <x:c r="E17" s="17" t="str">
        <x:v>山东</x:v>
      </x:c>
      <x:c r="F17" s="17" t="str">
        <x:v>蒙山</x:v>
      </x:c>
      <x:c r="G17" s="19" t="n">
        <x:v>1156</x:v>
      </x:c>
      <x:c r="H17" s="21" t="n">
        <x:v>35.56009</x:v>
      </x:c>
      <x:c r="I17" s="21" t="n">
        <x:v>117.84565</x:v>
      </x:c>
      <x:c r="J17" s="23" t="str">
        <x:v>沂蒙山主峰，森林覆盖率极高、被称“天然氧吧”，龟蒙顶为山东第二高峰。</x:v>
      </x:c>
      <x:c r="K17" s="17" t="str">
        <x:v>热门</x:v>
      </x:c>
      <x:c r="L17" s="23" t="str">
        <x:v>年游客 200 万人次以上（估算）</x:v>
      </x:c>
      <x:c r="M17" s="23" t="str">
        <x:v>龟蒙景区 → 龟蒙顶</x:v>
      </x:c>
      <x:c r="N17" s="23" t="str">
        <x:v>2–3 小时</x:v>
      </x:c>
      <x:c r="O17" s="17" t="str">
        <x:v>OSM</x:v>
      </x:c>
      <x:c r="P17" s="23" t="str">
        <x:v>公开数据不足，按平台活跃度与游客量推算（估算）</x:v>
      </x:c>
    </x:row>
    <x:row r="18" ht="48" customHeight="1">
      <x:c r="B18" s="17" t="n">
        <x:v>13</x:v>
      </x:c>
      <x:c r="C18" s="13" t="str">
        <x:v>五台山北台叶斗峰</x:v>
      </x:c>
      <x:c r="D18" s="13" t="str">
        <x:v>山西 · 忻州五台</x:v>
      </x:c>
      <x:c r="E18" s="17" t="str">
        <x:v>山西</x:v>
      </x:c>
      <x:c r="F18" s="17" t="str">
        <x:v>五台山</x:v>
      </x:c>
      <x:c r="G18" s="19" t="n">
        <x:v>3061</x:v>
      </x:c>
      <x:c r="H18" s="21" t="n">
        <x:v>39.07985</x:v>
      </x:c>
      <x:c r="I18" s="21" t="n">
        <x:v>113.56713</x:v>
      </x:c>
      <x:c r="J18" s="23" t="str">
        <x:v>华北最高峰，佛教四大名山之首的“华北屋脊”，“大朝台”五台连穿是经典多日徒步。</x:v>
      </x:c>
      <x:c r="K18" s="17" t="str">
        <x:v>热门</x:v>
      </x:c>
      <x:c r="L18" s="23" t="str">
        <x:v>年朝台/徒步 10 万人次以上（估算）</x:v>
      </x:c>
      <x:c r="M18" s="23" t="str">
        <x:v>鸿门岩 → 北台顶（或台怀镇起的大朝台）</x:v>
      </x:c>
      <x:c r="N18" s="23" t="str">
        <x:v>2–3 小时（鸿门岩登北台）；大朝台 2–3 日</x:v>
      </x:c>
      <x:c r="O18" s="17" t="str">
        <x:v>OSM</x:v>
      </x:c>
      <x:c r="P18" s="23" t="str">
        <x:v>公开数据不足，按平台活跃度与游客量推算（估算）</x:v>
      </x:c>
    </x:row>
    <x:row r="19" ht="48" customHeight="1">
      <x:c r="B19" s="17" t="n">
        <x:v>14</x:v>
      </x:c>
      <x:c r="C19" s="13" t="str">
        <x:v>恒山</x:v>
      </x:c>
      <x:c r="D19" s="13" t="str">
        <x:v>山西 · 大同浑源</x:v>
      </x:c>
      <x:c r="E19" s="17" t="str">
        <x:v>山西</x:v>
      </x:c>
      <x:c r="F19" s="17" t="str">
        <x:v>恒山</x:v>
      </x:c>
      <x:c r="G19" s="19" t="n">
        <x:v>2016.1</x:v>
      </x:c>
      <x:c r="H19" s="21" t="n">
        <x:v>39.6744</x:v>
      </x:c>
      <x:c r="I19" s="21" t="n">
        <x:v>113.7392</x:v>
      </x:c>
      <x:c r="J19" s="23" t="str">
        <x:v>五岳之北岳，天峰岭为顶峰，悬空寺贴崖而建，碳酸盐岩峡谷与道教宫观群密集。</x:v>
      </x:c>
      <x:c r="K19" s="17" t="str">
        <x:v>热门</x:v>
      </x:c>
      <x:c r="L19" s="23" t="str">
        <x:v>年游客 100 万人次以上（估算）</x:v>
      </x:c>
      <x:c r="M19" s="23" t="str">
        <x:v>恒山景区停车场 → 天峰岭</x:v>
      </x:c>
      <x:c r="N19" s="23" t="str">
        <x:v>1.5–2.5 小时</x:v>
      </x:c>
      <x:c r="O19" s="17" t="str">
        <x:v>手工核对 天峰岭</x:v>
      </x:c>
      <x:c r="P19" s="23" t="str">
        <x:v>公开数据不足，按平台活跃度与游客量推算（估算）</x:v>
      </x:c>
    </x:row>
    <x:row r="20" ht="48" customHeight="1">
      <x:c r="B20" s="17" t="n">
        <x:v>15</x:v>
      </x:c>
      <x:c r="C20" s="13" t="str">
        <x:v>芦芽山</x:v>
      </x:c>
      <x:c r="D20" s="13" t="str">
        <x:v>山西 · 忻州宁武</x:v>
      </x:c>
      <x:c r="E20" s="17" t="str">
        <x:v>山西</x:v>
      </x:c>
      <x:c r="F20" s="17" t="str">
        <x:v>吕梁山</x:v>
      </x:c>
      <x:c r="G20" s="19" t="n">
        <x:v>2739</x:v>
      </x:c>
      <x:c r="H20" s="21" t="n">
        <x:v>38.71417</x:v>
      </x:c>
      <x:c r="I20" s="21" t="n">
        <x:v>111.84056</x:v>
      </x:c>
      <x:c r="J20" s="23" t="str">
        <x:v>亚高山草甸与万年冰洞共存，主峰尖如芦芽，马仑草原辽阔，是晋北经典穿越线。</x:v>
      </x:c>
      <x:c r="K20" s="17" t="str">
        <x:v>较热</x:v>
      </x:c>
      <x:c r="L20" s="23" t="str">
        <x:v>年游览/徒步 20 万人次以上（估算）</x:v>
      </x:c>
      <x:c r="M20" s="23" t="str">
        <x:v>东寨 芦芽山景区 → 主峰</x:v>
      </x:c>
      <x:c r="N20" s="23" t="str">
        <x:v>3–5 小时</x:v>
      </x:c>
      <x:c r="O20" s="17" t="str">
        <x:v>Wikidata</x:v>
      </x:c>
      <x:c r="P20" s="23" t="str">
        <x:v>公开数据不足，按平台活跃度与游客量推算（估算）</x:v>
      </x:c>
    </x:row>
    <x:row r="21" ht="48" customHeight="1">
      <x:c r="B21" s="17" t="n">
        <x:v>16</x:v>
      </x:c>
      <x:c r="C21" s="13" t="str">
        <x:v>嵩山（峻极峰）</x:v>
      </x:c>
      <x:c r="D21" s="13" t="str">
        <x:v>河南 · 郑州登封</x:v>
      </x:c>
      <x:c r="E21" s="17" t="str">
        <x:v>河南</x:v>
      </x:c>
      <x:c r="F21" s="17" t="str">
        <x:v>嵩山</x:v>
      </x:c>
      <x:c r="G21" s="19" t="n">
        <x:v>1491.7</x:v>
      </x:c>
      <x:c r="H21" s="21" t="n">
        <x:v>34.48472</x:v>
      </x:c>
      <x:c r="I21" s="21" t="n">
        <x:v>112.96028</x:v>
      </x:c>
      <x:c r="J21" s="23" t="str">
        <x:v>五岳之中岳，太室山峻极峰为最高点，少林寺、中岳庙、嵩阳书院环山分布，三皇寨栈道为经典徒步段。</x:v>
      </x:c>
      <x:c r="K21" s="17" t="str">
        <x:v>极热</x:v>
      </x:c>
      <x:c r="L21" s="23" t="str">
        <x:v>年游客 300 万人次以上（估算）</x:v>
      </x:c>
      <x:c r="M21" s="23" t="str">
        <x:v>嵩阳书院 → 峻极峰 或 三皇寨 → 少林寺穿越</x:v>
      </x:c>
      <x:c r="N21" s="23" t="str">
        <x:v>2.5–4 小时</x:v>
      </x:c>
      <x:c r="O21" s="17" t="str">
        <x:v>Wikidata</x:v>
      </x:c>
      <x:c r="P21" s="23" t="str">
        <x:v>公开数据不足，按平台活跃度与游客量推算（估算）</x:v>
      </x:c>
    </x:row>
    <x:row r="22" ht="48" customHeight="1">
      <x:c r="B22" s="17" t="n">
        <x:v>17</x:v>
      </x:c>
      <x:c r="C22" s="13" t="str">
        <x:v>老君山</x:v>
      </x:c>
      <x:c r="D22" s="13" t="str">
        <x:v>河南 · 洛阳栾川</x:v>
      </x:c>
      <x:c r="E22" s="17" t="str">
        <x:v>河南</x:v>
      </x:c>
      <x:c r="F22" s="17" t="str">
        <x:v>伏牛山</x:v>
      </x:c>
      <x:c r="G22" s="19" t="n">
        <x:v>2217</x:v>
      </x:c>
      <x:c r="H22" s="21" t="n">
        <x:v>33.7205</x:v>
      </x:c>
      <x:c r="I22" s="21" t="n">
        <x:v>111.6437</x:v>
      </x:c>
      <x:c r="J22" s="23" t="str">
        <x:v>道教圣地，金顶道观群建于峰顶绝壁，冬季雾凇与云海出片率极高，是近年全国最火的网红山之一。</x:v>
      </x:c>
      <x:c r="K22" s="17" t="str">
        <x:v>极热</x:v>
      </x:c>
      <x:c r="L22" s="23" t="str">
        <x:v>2024 年接待游客 450 万人次</x:v>
      </x:c>
      <x:c r="M22" s="23" t="str">
        <x:v>索道上站 → 十里画屏 → 金顶</x:v>
      </x:c>
      <x:c r="N22" s="23" t="str">
        <x:v>1.5–3 小时（含索道）</x:v>
      </x:c>
      <x:c r="O22" s="17" t="str">
        <x:v>Wikidata</x:v>
      </x:c>
      <x:c r="P22" s="23" t="str">
        <x:v>新华社、河南省政府门户</x:v>
      </x:c>
    </x:row>
    <x:row r="23" ht="48" customHeight="1">
      <x:c r="B23" s="17" t="n">
        <x:v>18</x:v>
      </x:c>
      <x:c r="C23" s="13" t="str">
        <x:v>云台山（茱萸峰）</x:v>
      </x:c>
      <x:c r="D23" s="13" t="str">
        <x:v>河南 · 焦作修武</x:v>
      </x:c>
      <x:c r="E23" s="17" t="str">
        <x:v>河南</x:v>
      </x:c>
      <x:c r="F23" s="17" t="str">
        <x:v>太行山南麓</x:v>
      </x:c>
      <x:c r="G23" s="19" t="n">
        <x:v>1308</x:v>
      </x:c>
      <x:c r="H23" s="21" t="n">
        <x:v>35.4219</x:v>
      </x:c>
      <x:c r="I23" s="21" t="n">
        <x:v>113.4028</x:v>
      </x:c>
      <x:c r="J23" s="23" t="str">
        <x:v>世界地质公园，红石峡与潭瀑峡为核心景观，茱萸峰为最高点，是王维“遥知兄弟登高处”的典出之地。</x:v>
      </x:c>
      <x:c r="K23" s="17" t="str">
        <x:v>极热</x:v>
      </x:c>
      <x:c r="L23" s="23" t="str">
        <x:v>河南省 4A 级及以上景区接待量常年居前五（省级文旅厅口径）</x:v>
      </x:c>
      <x:c r="M23" s="23" t="str">
        <x:v>云台山景区 → 茱萸峰</x:v>
      </x:c>
      <x:c r="N23" s="23" t="str">
        <x:v>2–3 小时</x:v>
      </x:c>
      <x:c r="O23" s="17" t="str">
        <x:v>手工核对</x:v>
      </x:c>
      <x:c r="P23" s="23" t="str">
        <x:v>河南省文旅厅</x:v>
      </x:c>
    </x:row>
    <x:row r="24" ht="48" customHeight="1">
      <x:c r="B24" s="17" t="n">
        <x:v>19</x:v>
      </x:c>
      <x:c r="C24" s="13" t="str">
        <x:v>华山</x:v>
      </x:c>
      <x:c r="D24" s="13" t="str">
        <x:v>陕西 · 渭南华阴</x:v>
      </x:c>
      <x:c r="E24" s="17" t="str">
        <x:v>陕西</x:v>
      </x:c>
      <x:c r="F24" s="17" t="str">
        <x:v>秦岭东段</x:v>
      </x:c>
      <x:c r="G24" s="19" t="n">
        <x:v>2154.9</x:v>
      </x:c>
      <x:c r="H24" s="21" t="n">
        <x:v>34.48333</x:v>
      </x:c>
      <x:c r="I24" s="21" t="n">
        <x:v>110.08333</x:v>
      </x:c>
      <x:c r="J24" s="23" t="str">
        <x:v>五岳之西岳，以险著称。自古华山一条路（玉泉院—千尺幢—北峰—东峰）与长空栈道、鹞子翻身是经典，南峰为最高点。</x:v>
      </x:c>
      <x:c r="K24" s="17" t="str">
        <x:v>极热</x:v>
      </x:c>
      <x:c r="L24" s="23" t="str">
        <x:v>旺季（3–11 月）每日限流 3 万人次；2025 年清明假期 3 天 5.28 万人次</x:v>
      </x:c>
      <x:c r="M24" s="23" t="str">
        <x:v>玉泉院 → 北峰 → 东峰 → 南峰</x:v>
      </x:c>
      <x:c r="N24" s="23" t="str">
        <x:v>4–6 小时（徒步）；索道 1–2 小时</x:v>
      </x:c>
      <x:c r="O24" s="17" t="str">
        <x:v>Wikidata</x:v>
      </x:c>
      <x:c r="P24" s="23" t="str">
        <x:v>华山景区预约公告、华阴市政府</x:v>
      </x:c>
    </x:row>
    <x:row r="25" ht="48" customHeight="1">
      <x:c r="B25" s="17" t="n">
        <x:v>20</x:v>
      </x:c>
      <x:c r="C25" s="13" t="str">
        <x:v>太白山</x:v>
      </x:c>
      <x:c r="D25" s="13" t="str">
        <x:v>陕西 · 宝鸡眉县</x:v>
      </x:c>
      <x:c r="E25" s="17" t="str">
        <x:v>陕西</x:v>
      </x:c>
      <x:c r="F25" s="17" t="str">
        <x:v>秦岭</x:v>
      </x:c>
      <x:c r="G25" s="19" t="n">
        <x:v>3771.2</x:v>
      </x:c>
      <x:c r="H25" s="21" t="n">
        <x:v>33.95667</x:v>
      </x:c>
      <x:c r="I25" s="21" t="n">
        <x:v>107.765</x:v>
      </x:c>
      <x:c r="J25" s="23" t="str">
        <x:v>秦岭主峰、中国大陆东半壁最高峰。拔仙台古道经大爷海、二爷海高山湖泊群，是西安周边最强的登顶目标。</x:v>
      </x:c>
      <x:c r="K25" s="17" t="str">
        <x:v>极热</x:v>
      </x:c>
      <x:c r="L25" s="23" t="str">
        <x:v>年登山/游览 100 万人次以上；年登顶拔仙台约 10 万人次（估算）</x:v>
      </x:c>
      <x:c r="M25" s="23" t="str">
        <x:v>下板寺 → 拜仙台 → 大爷海 → 拔仙台</x:v>
      </x:c>
      <x:c r="N25" s="23" t="str">
        <x:v>6–8 小时（乘车至下板寺）；两日穿越常见</x:v>
      </x:c>
      <x:c r="O25" s="17" t="str">
        <x:v>Wikidata</x:v>
      </x:c>
      <x:c r="P25" s="23" t="str">
        <x:v>公开数据不足，按平台活跃度与游客量推算（估算）</x:v>
      </x:c>
    </x:row>
    <x:row r="26" ht="48" customHeight="1">
      <x:c r="B26" s="17" t="n">
        <x:v>21</x:v>
      </x:c>
      <x:c r="C26" s="13" t="str">
        <x:v>鳌山</x:v>
      </x:c>
      <x:c r="D26" s="13" t="str">
        <x:v>陕西 · 宝鸡太白</x:v>
      </x:c>
      <x:c r="E26" s="17" t="str">
        <x:v>陕西</x:v>
      </x:c>
      <x:c r="F26" s="17" t="str">
        <x:v>秦岭</x:v>
      </x:c>
      <x:c r="G26" s="19" t="n">
        <x:v>3476</x:v>
      </x:c>
      <x:c r="H26" s="21" t="n">
        <x:v>33.94058</x:v>
      </x:c>
      <x:c r="I26" s="21" t="n">
        <x:v>107.42178</x:v>
      </x:c>
      <x:c r="J26" s="23" t="str">
        <x:v>秦岭第二高峰，“鳌太线”起点，冬季雪深风大，是国内顶尖技术性穿越线路的入门段。</x:v>
      </x:c>
      <x:c r="K26" s="17" t="str">
        <x:v>热门</x:v>
      </x:c>
      <x:c r="L26" s="23" t="str">
        <x:v>年登顶 1–3 万人次（估算，鳌太线多年封控）</x:v>
      </x:c>
      <x:c r="M26" s="23" t="str">
        <x:v>塘口村 → 鳌太大梁 → 鳌山顶</x:v>
      </x:c>
      <x:c r="N26" s="23" t="str">
        <x:v>8–10 小时（单日）；鳌太穿越 5–7 日</x:v>
      </x:c>
      <x:c r="O26" s="17" t="str">
        <x:v>OSM</x:v>
      </x:c>
      <x:c r="P26" s="23" t="str">
        <x:v>公开数据不足，按平台活跃度与游客量推算（估算）</x:v>
      </x:c>
    </x:row>
    <x:row r="27" ht="48" customHeight="1">
      <x:c r="B27" s="17" t="n">
        <x:v>22</x:v>
      </x:c>
      <x:c r="C27" s="13" t="str">
        <x:v>冰晶顶</x:v>
      </x:c>
      <x:c r="D27" s="13" t="str">
        <x:v>陕西 · 西安鄠邑</x:v>
      </x:c>
      <x:c r="E27" s="17" t="str">
        <x:v>陕西</x:v>
      </x:c>
      <x:c r="F27" s="17" t="str">
        <x:v>秦岭</x:v>
      </x:c>
      <x:c r="G27" s="19" t="n">
        <x:v>3015</x:v>
      </x:c>
      <x:c r="H27" s="21" t="n">
        <x:v>33.83846</x:v>
      </x:c>
      <x:c r="I27" s="21" t="n">
        <x:v>108.59025</x:v>
      </x:c>
      <x:c r="J27" s="23" t="str">
        <x:v>秦岭东段最高峰，属朱雀国家森林公园，冰川遗迹与箭竹林海并存，是西安周边最强的单日拉练线。</x:v>
      </x:c>
      <x:c r="K27" s="17" t="str">
        <x:v>热门</x:v>
      </x:c>
      <x:c r="L27" s="23" t="str">
        <x:v>年登顶 3–5 万人次（估算）</x:v>
      </x:c>
      <x:c r="M27" s="23" t="str">
        <x:v>朱雀国家森林公园沟口 → 冰晶顶</x:v>
      </x:c>
      <x:c r="N27" s="23" t="str">
        <x:v>5–7 小时</x:v>
      </x:c>
      <x:c r="O27" s="17" t="str">
        <x:v>OSM</x:v>
      </x:c>
      <x:c r="P27" s="23" t="str">
        <x:v>公开数据不足，按平台活跃度与游客量推算（估算）</x:v>
      </x:c>
    </x:row>
    <x:row r="28" ht="48" customHeight="1">
      <x:c r="B28" s="17" t="n">
        <x:v>23</x:v>
      </x:c>
      <x:c r="C28" s="13" t="str">
        <x:v>南五台</x:v>
      </x:c>
      <x:c r="D28" s="13" t="str">
        <x:v>陕西 · 西安长安</x:v>
      </x:c>
      <x:c r="E28" s="17" t="str">
        <x:v>陕西</x:v>
      </x:c>
      <x:c r="F28" s="17" t="str">
        <x:v>秦岭</x:v>
      </x:c>
      <x:c r="G28" s="19" t="n">
        <x:v>1688</x:v>
      </x:c>
      <x:c r="H28" s="21" t="n">
        <x:v>33.99</x:v>
      </x:c>
      <x:c r="I28" s="21" t="n">
        <x:v>108.9747</x:v>
      </x:c>
      <x:c r="J28" s="23" t="str">
        <x:v>终南山核心佛教名山，五台环列，紧邻大学城，是西安市民周末登山与观星的常规去处。</x:v>
      </x:c>
      <x:c r="K28" s="17" t="str">
        <x:v>热门</x:v>
      </x:c>
      <x:c r="L28" s="23" t="str">
        <x:v>年登山 30 万人次以上（估算）</x:v>
      </x:c>
      <x:c r="M28" s="23" t="str">
        <x:v>五台镇 → 大台（观音台）</x:v>
      </x:c>
      <x:c r="N28" s="23" t="str">
        <x:v>2–3 小时</x:v>
      </x:c>
      <x:c r="O28" s="17" t="str">
        <x:v>OSM</x:v>
      </x:c>
      <x:c r="P28" s="23" t="str">
        <x:v>公开数据不足，按平台活跃度与游客量推算（估算）</x:v>
      </x:c>
    </x:row>
    <x:row r="29" ht="48" customHeight="1">
      <x:c r="B29" s="17" t="n">
        <x:v>24</x:v>
      </x:c>
      <x:c r="C29" s="13" t="str">
        <x:v>玉珠峰</x:v>
      </x:c>
      <x:c r="D29" s="13" t="str">
        <x:v>青海 · 海西格尔木</x:v>
      </x:c>
      <x:c r="E29" s="17" t="str">
        <x:v>青海</x:v>
      </x:c>
      <x:c r="F29" s="17" t="str">
        <x:v>昆仑山东段</x:v>
      </x:c>
      <x:c r="G29" s="19" t="n">
        <x:v>6178</x:v>
      </x:c>
      <x:c r="H29" s="21" t="n">
        <x:v>35.6525</x:v>
      </x:c>
      <x:c r="I29" s="21" t="n">
        <x:v>94.2508</x:v>
      </x:c>
      <x:c r="J29" s="23" t="str">
        <x:v>昆仑山东段最高峰，国内最热门的入门级雪山之一，南坡技术难度低，被称作“雪山首登训练场”。</x:v>
      </x:c>
      <x:c r="K29" s="17" t="str">
        <x:v>热门</x:v>
      </x:c>
      <x:c r="L29" s="23" t="str">
        <x:v>2023 年接待登山及游客 2000 人次，登山人数逐年增加</x:v>
      </x:c>
      <x:c r="M29" s="23" t="str">
        <x:v>格尔木 → 西大滩 BC → C1 → 顶峰</x:v>
      </x:c>
      <x:c r="N29" s="23" t="str">
        <x:v>5–6 日（含适应）；冲顶 6–8 小时</x:v>
      </x:c>
      <x:c r="O29" s="17" t="str">
        <x:v>Wikidata</x:v>
      </x:c>
      <x:c r="P29" s="23" t="str">
        <x:v>人民网、玉树州报道</x:v>
      </x:c>
    </x:row>
    <x:row r="30" ht="48" customHeight="1">
      <x:c r="B30" s="17" t="n">
        <x:v>25</x:v>
      </x:c>
      <x:c r="C30" s="13" t="str">
        <x:v>岗什卡</x:v>
      </x:c>
      <x:c r="D30" s="13" t="str">
        <x:v>青海 · 海北门源</x:v>
      </x:c>
      <x:c r="E30" s="17" t="str">
        <x:v>青海</x:v>
      </x:c>
      <x:c r="F30" s="17" t="str">
        <x:v>祁连山</x:v>
      </x:c>
      <x:c r="G30" s="19" t="n">
        <x:v>5254</x:v>
      </x:c>
      <x:c r="H30" s="21" t="n">
        <x:v>37.69297</x:v>
      </x:c>
      <x:c r="I30" s="21" t="n">
        <x:v>101.50573</x:v>
      </x:c>
      <x:c r="J30" s="23" t="str">
        <x:v>祁连山东段主峰之一，雪线低、交通便利，是国内性价比最高的 5000 米级入门雪山，夏季雪坡稳定。</x:v>
      </x:c>
      <x:c r="K30" s="17" t="str">
        <x:v>热门</x:v>
      </x:c>
      <x:c r="L30" s="23" t="str">
        <x:v>年登山 1000–2000 人次（估算）</x:v>
      </x:c>
      <x:c r="M30" s="23" t="str">
        <x:v>青石嘴 → 大本营 → C1 → 顶峰</x:v>
      </x:c>
      <x:c r="N30" s="23" t="str">
        <x:v>3–4 日</x:v>
      </x:c>
      <x:c r="O30" s="17" t="str">
        <x:v>OSM</x:v>
      </x:c>
      <x:c r="P30" s="23" t="str">
        <x:v>公开数据不足，按平台活跃度与游客量推算（估算）</x:v>
      </x:c>
    </x:row>
    <x:row r="31" ht="48" customHeight="1">
      <x:c r="B31" s="17" t="n">
        <x:v>26</x:v>
      </x:c>
      <x:c r="C31" s="13" t="str">
        <x:v>阿尼玛卿</x:v>
      </x:c>
      <x:c r="D31" s="13" t="str">
        <x:v>青海 · 果洛玛沁</x:v>
      </x:c>
      <x:c r="E31" s="17" t="str">
        <x:v>青海</x:v>
      </x:c>
      <x:c r="F31" s="17" t="str">
        <x:v>昆仑山（阿尼玛卿）</x:v>
      </x:c>
      <x:c r="G31" s="19" t="n">
        <x:v>6282</x:v>
      </x:c>
      <x:c r="H31" s="21" t="n">
        <x:v>34.79833</x:v>
      </x:c>
      <x:c r="I31" s="21" t="n">
        <x:v>99.4625</x:v>
      </x:c>
      <x:c r="J31" s="23" t="str">
        <x:v>藏区四大神山之一，主峰玛卿岗日冰川规模巨大，攀登与转山并行，是成熟的 6000 米级目标。</x:v>
      </x:c>
      <x:c r="K31" s="17" t="str">
        <x:v>较热</x:v>
      </x:c>
      <x:c r="L31" s="23" t="str">
        <x:v>年登顶数十至百人次（估算）</x:v>
      </x:c>
      <x:c r="M31" s="23" t="str">
        <x:v>雪山乡 → 大本营 → C1 → C2 → 顶峰</x:v>
      </x:c>
      <x:c r="N31" s="23" t="str">
        <x:v>10–15 日</x:v>
      </x:c>
      <x:c r="O31" s="17" t="str">
        <x:v>Wikidata</x:v>
      </x:c>
      <x:c r="P31" s="23" t="str">
        <x:v>公开数据不足，按平台活跃度与游客量推算（估算）</x:v>
      </x:c>
    </x:row>
    <x:row r="32" ht="48" customHeight="1">
      <x:c r="B32" s="17" t="n">
        <x:v>27</x:v>
      </x:c>
      <x:c r="C32" s="13" t="str">
        <x:v>贺兰山</x:v>
      </x:c>
      <x:c r="D32" s="13" t="str">
        <x:v>宁夏 · 银川 / 内蒙古阿拉善</x:v>
      </x:c>
      <x:c r="E32" s="17" t="str">
        <x:v>宁夏</x:v>
      </x:c>
      <x:c r="F32" s="17" t="str">
        <x:v>贺兰山</x:v>
      </x:c>
      <x:c r="G32" s="19" t="n">
        <x:v>3556</x:v>
      </x:c>
      <x:c r="H32" s="21" t="n">
        <x:v>38.83333</x:v>
      </x:c>
      <x:c r="I32" s="21" t="n">
        <x:v>105.95</x:v>
      </x:c>
      <x:c r="J32" s="23" t="str">
        <x:v>宁夏平原的西屏障，主峰敖包疙瘩；苏峪口与滚钟口为国家森林公园，西侧保护区是雪豹栖息地。</x:v>
      </x:c>
      <x:c r="K32" s="17" t="str">
        <x:v>热门</x:v>
      </x:c>
      <x:c r="L32" s="23" t="str">
        <x:v>年登山/游览 50 万人次以上（估算）</x:v>
      </x:c>
      <x:c r="M32" s="23" t="str">
        <x:v>苏峪口国家森林公园 → 主峰 或 滚钟口</x:v>
      </x:c>
      <x:c r="N32" s="23" t="str">
        <x:v>4–6 小时</x:v>
      </x:c>
      <x:c r="O32" s="17" t="str">
        <x:v>Wikidata</x:v>
      </x:c>
      <x:c r="P32" s="23" t="str">
        <x:v>公开数据不足，按平台活跃度与游客量推算（估算）</x:v>
      </x:c>
    </x:row>
    <x:row r="33" ht="48" customHeight="1">
      <x:c r="B33" s="17" t="n">
        <x:v>28</x:v>
      </x:c>
      <x:c r="C33" s="13" t="str">
        <x:v>崆峒山</x:v>
      </x:c>
      <x:c r="D33" s="13" t="str">
        <x:v>甘肃 · 平凉</x:v>
      </x:c>
      <x:c r="E33" s="17" t="str">
        <x:v>甘肃</x:v>
      </x:c>
      <x:c r="F33" s="17" t="str">
        <x:v>六盘山</x:v>
      </x:c>
      <x:c r="G33" s="19" t="n">
        <x:v>2123</x:v>
      </x:c>
      <x:c r="H33" s="21" t="n">
        <x:v>35.5767</x:v>
      </x:c>
      <x:c r="I33" s="21" t="n">
        <x:v>106.5192</x:v>
      </x:c>
      <x:c r="J33" s="23" t="str">
        <x:v>道教第一名山，相传黄帝问道广成子处，丹霞峰林与道观群密集，是西北城市登山的代表。</x:v>
      </x:c>
      <x:c r="K33" s="17" t="str">
        <x:v>热门</x:v>
      </x:c>
      <x:c r="L33" s="23" t="str">
        <x:v>年游客 100 万人次以上（估算）</x:v>
      </x:c>
      <x:c r="M33" s="23" t="str">
        <x:v>崆峒山景区 → 皇城 → 主峰</x:v>
      </x:c>
      <x:c r="N33" s="23" t="str">
        <x:v>2–3 小时</x:v>
      </x:c>
      <x:c r="O33" s="17" t="str">
        <x:v>Wikidata</x:v>
      </x:c>
      <x:c r="P33" s="23" t="str">
        <x:v>公开数据不足，按平台活跃度与游客量推算（估算）</x:v>
      </x:c>
    </x:row>
    <x:row r="34" ht="48" customHeight="1">
      <x:c r="B34" s="17" t="n">
        <x:v>29</x:v>
      </x:c>
      <x:c r="C34" s="13" t="str">
        <x:v>慕士塔格峰</x:v>
      </x:c>
      <x:c r="D34" s="13" t="str">
        <x:v>新疆 · 喀什阿克陶</x:v>
      </x:c>
      <x:c r="E34" s="17" t="str">
        <x:v>新疆</x:v>
      </x:c>
      <x:c r="F34" s="17" t="str">
        <x:v>昆仑山西段（帕米尔）</x:v>
      </x:c>
      <x:c r="G34" s="19" t="n">
        <x:v>7509</x:v>
      </x:c>
      <x:c r="H34" s="21" t="n">
        <x:v>38.27833</x:v>
      </x:c>
      <x:c r="I34" s="21" t="n">
        <x:v>75.11583</x:v>
      </x:c>
      <x:c r="J34" s="23" t="str">
        <x:v>“冰山之父”，世界上海拔最高的入门级 7000 米峰之一，雪坡平缓，是中国商业登山历史最久的 7000 米级山峰。</x:v>
      </x:c>
      <x:c r="K34" s="17" t="str">
        <x:v>热门</x:v>
      </x:c>
      <x:c r="L34" s="23" t="str">
        <x:v>登山季超 300 名登山者（2022 年重启登山活动后）</x:v>
      </x:c>
      <x:c r="M34" s="23" t="str">
        <x:v>204 基地 → BC → C1 → C2 → C3 → 顶峰</x:v>
      </x:c>
      <x:c r="N34" s="23" t="str">
        <x:v>18–22 日（含适应）</x:v>
      </x:c>
      <x:c r="O34" s="17" t="str">
        <x:v>Wikidata</x:v>
      </x:c>
      <x:c r="P34" s="23" t="str">
        <x:v>媒体报道</x:v>
      </x:c>
    </x:row>
    <x:row r="35" ht="48" customHeight="1">
      <x:c r="B35" s="17" t="n">
        <x:v>30</x:v>
      </x:c>
      <x:c r="C35" s="13" t="str">
        <x:v>博格达峰</x:v>
      </x:c>
      <x:c r="D35" s="13" t="str">
        <x:v>新疆 · 昌吉阜康</x:v>
      </x:c>
      <x:c r="E35" s="17" t="str">
        <x:v>新疆</x:v>
      </x:c>
      <x:c r="F35" s="17" t="str">
        <x:v>天山</x:v>
      </x:c>
      <x:c r="G35" s="19" t="n">
        <x:v>5445</x:v>
      </x:c>
      <x:c r="H35" s="21" t="n">
        <x:v>43.80157</x:v>
      </x:c>
      <x:c r="I35" s="21" t="n">
        <x:v>88.33497</x:v>
      </x:c>
      <x:c r="J35" s="23" t="str">
        <x:v>天山天池背后的守护神山，冰岩混合地形险峻，是新疆最具代表性的技术型登山路线。</x:v>
      </x:c>
      <x:c r="K35" s="17" t="str">
        <x:v>较热</x:v>
      </x:c>
      <x:c r="L35" s="23" t="str">
        <x:v>年登顶数十人次（估算）</x:v>
      </x:c>
      <x:c r="M35" s="23" t="str">
        <x:v>天池 → 大本营 → C1 → 顶峰</x:v>
      </x:c>
      <x:c r="N35" s="23" t="str">
        <x:v>7–10 日</x:v>
      </x:c>
      <x:c r="O35" s="17" t="str">
        <x:v>Wikidata</x:v>
      </x:c>
      <x:c r="P35" s="23" t="str">
        <x:v>公开数据不足，按平台活跃度与游客量推算（估算）</x:v>
      </x:c>
    </x:row>
    <x:row r="36" ht="48" customHeight="1">
      <x:c r="B36" s="17" t="n">
        <x:v>31</x:v>
      </x:c>
      <x:c r="C36" s="13" t="str">
        <x:v>友谊峰</x:v>
      </x:c>
      <x:c r="D36" s="13" t="str">
        <x:v>新疆 · 阿勒泰布尔津</x:v>
      </x:c>
      <x:c r="E36" s="17" t="str">
        <x:v>新疆</x:v>
      </x:c>
      <x:c r="F36" s="17" t="str">
        <x:v>阿尔泰山</x:v>
      </x:c>
      <x:c r="G36" s="19" t="n">
        <x:v>4374</x:v>
      </x:c>
      <x:c r="H36" s="21" t="n">
        <x:v>49.14583</x:v>
      </x:c>
      <x:c r="I36" s="21" t="n">
        <x:v>87.81917</x:v>
      </x:c>
      <x:c r="J36" s="23" t="str">
        <x:v>阿尔泰山主峰，位于中蒙边境线上，是喀纳斯湖的水源地，冰川与原始针叶林环绕，进山需审批。</x:v>
      </x:c>
      <x:c r="K36" s="17" t="str">
        <x:v>小众</x:v>
      </x:c>
      <x:c r="L36" s="23" t="str">
        <x:v>年登顶十至数十人次（估算）</x:v>
      </x:c>
      <x:c r="M36" s="23" t="str">
        <x:v>喀纳斯 → 白湖 → 大本营 → 顶峰</x:v>
      </x:c>
      <x:c r="N36" s="23" t="str">
        <x:v>8–12 日</x:v>
      </x:c>
      <x:c r="O36" s="17" t="str">
        <x:v>Wikidata</x:v>
      </x:c>
      <x:c r="P36" s="23" t="str">
        <x:v>公开数据不足，按平台活跃度与游客量推算（估算）</x:v>
      </x:c>
    </x:row>
    <x:row r="37" ht="48" customHeight="1">
      <x:c r="B37" s="17" t="n">
        <x:v>32</x:v>
      </x:c>
      <x:c r="C37" s="13" t="str">
        <x:v>托木尔峰</x:v>
      </x:c>
      <x:c r="D37" s="13" t="str">
        <x:v>新疆 · 阿克苏温宿</x:v>
      </x:c>
      <x:c r="E37" s="17" t="str">
        <x:v>新疆</x:v>
      </x:c>
      <x:c r="F37" s="17" t="str">
        <x:v>天山（托木尔—汗腾格里）</x:v>
      </x:c>
      <x:c r="G37" s="19" t="n">
        <x:v>7443.8</x:v>
      </x:c>
      <x:c r="H37" s="21" t="n">
        <x:v>42.03466</x:v>
      </x:c>
      <x:c r="I37" s="21" t="n">
        <x:v>80.12871</x:v>
      </x:c>
      <x:c r="J37" s="23" t="str">
        <x:v>天山最高峰，冰川发育最集中的区域，也是中国最早对外开放的山峰之一。</x:v>
      </x:c>
      <x:c r="K37" s="17" t="str">
        <x:v>小众</x:v>
      </x:c>
      <x:c r="L37" s="23" t="str">
        <x:v>年登顶数十人次（估算）</x:v>
      </x:c>
      <x:c r="M37" s="23" t="str">
        <x:v>温宿 大本营 → C1 → C2 → C3 → 顶峰</x:v>
      </x:c>
      <x:c r="N37" s="23" t="str">
        <x:v>15–20 日</x:v>
      </x:c>
      <x:c r="O37" s="17" t="str">
        <x:v>Wikidata</x:v>
      </x:c>
      <x:c r="P37" s="23" t="str">
        <x:v>公开数据不足，按平台活跃度与游客量推算（估算）</x:v>
      </x:c>
    </x:row>
    <x:row r="38" ht="48" customHeight="1">
      <x:c r="B38" s="17" t="n">
        <x:v>33</x:v>
      </x:c>
      <x:c r="C38" s="13" t="str">
        <x:v>冈仁波齐</x:v>
      </x:c>
      <x:c r="D38" s="13" t="str">
        <x:v>西藏 · 阿里普兰</x:v>
      </x:c>
      <x:c r="E38" s="17" t="str">
        <x:v>西藏</x:v>
      </x:c>
      <x:c r="F38" s="17" t="str">
        <x:v>冈底斯山</x:v>
      </x:c>
      <x:c r="G38" s="19" t="n">
        <x:v>6656</x:v>
      </x:c>
      <x:c r="H38" s="21" t="n">
        <x:v>31.06694</x:v>
      </x:c>
      <x:c r="I38" s="21" t="n">
        <x:v>81.31278</x:v>
      </x:c>
      <x:c r="J38" s="23" t="str">
        <x:v>藏传佛教、苯教、印度教、耆那教共同的宇宙中心，至今无人登顶（明令禁止攀登）；52 公里转山道是世界级徒步。</x:v>
      </x:c>
      <x:c r="K38" s="17" t="str">
        <x:v>热门</x:v>
      </x:c>
      <x:c r="L38" s="23" t="str">
        <x:v>年转山者 5–10 万人次</x:v>
      </x:c>
      <x:c r="M38" s="23" t="str">
        <x:v>塔钦 → 止热寺 → 卓玛拉山口 → 塔钦</x:v>
      </x:c>
      <x:c r="N38" s="23" t="str">
        <x:v>转山 2–3 日（徒步 52 公里）</x:v>
      </x:c>
      <x:c r="O38" s="17" t="str">
        <x:v>Wikidata</x:v>
      </x:c>
      <x:c r="P38" s="23" t="str">
        <x:v>公开数据不足，按平台活跃度与游客量推算（估算）</x:v>
      </x:c>
    </x:row>
    <x:row r="39" ht="48" customHeight="1">
      <x:c r="B39" s="17" t="n">
        <x:v>34</x:v>
      </x:c>
      <x:c r="C39" s="13" t="str">
        <x:v>希夏邦马峰</x:v>
      </x:c>
      <x:c r="D39" s="13" t="str">
        <x:v>西藏 · 日喀则聂拉木</x:v>
      </x:c>
      <x:c r="E39" s="17" t="str">
        <x:v>西藏</x:v>
      </x:c>
      <x:c r="F39" s="17" t="str">
        <x:v>喜马拉雅</x:v>
      </x:c>
      <x:c r="G39" s="19" t="n">
        <x:v>8027</x:v>
      </x:c>
      <x:c r="H39" s="21" t="n">
        <x:v>28.35222</x:v>
      </x:c>
      <x:c r="I39" s="21" t="n">
        <x:v>85.77972</x:v>
      </x:c>
      <x:c r="J39" s="23" t="str">
        <x:v>唯一完整位于中国境内的 8000 米级山峰，山形雄浑，北坡冰塔林与佩枯错同框。</x:v>
      </x:c>
      <x:c r="K39" s="17" t="str">
        <x:v>较热</x:v>
      </x:c>
      <x:c r="L39" s="23" t="str">
        <x:v>年登顶数十人（估算）</x:v>
      </x:c>
      <x:c r="M39" s="23" t="str">
        <x:v>聂拉木 → 大本营 → C1 → C2 → C3 → 顶峰</x:v>
      </x:c>
      <x:c r="N39" s="23" t="str">
        <x:v>25–35 日</x:v>
      </x:c>
      <x:c r="O39" s="17" t="str">
        <x:v>Wikidata</x:v>
      </x:c>
      <x:c r="P39" s="23" t="str">
        <x:v>公开数据不足，按平台活跃度与游客量推算（估算）</x:v>
      </x:c>
    </x:row>
    <x:row r="40" ht="48" customHeight="1">
      <x:c r="B40" s="17" t="n">
        <x:v>35</x:v>
      </x:c>
      <x:c r="C40" s="13" t="str">
        <x:v>库拉岗日</x:v>
      </x:c>
      <x:c r="D40" s="13" t="str">
        <x:v>西藏 · 山南洛扎</x:v>
      </x:c>
      <x:c r="E40" s="17" t="str">
        <x:v>西藏</x:v>
      </x:c>
      <x:c r="F40" s="17" t="str">
        <x:v>喜马拉雅</x:v>
      </x:c>
      <x:c r="G40" s="19" t="n">
        <x:v>7538</x:v>
      </x:c>
      <x:c r="H40" s="21" t="n">
        <x:v>28.22731</x:v>
      </x:c>
      <x:c r="I40" s="21" t="n">
        <x:v>90.61526</x:v>
      </x:c>
      <x:c r="J40" s="23" t="str">
        <x:v>山南最高峰，白玛林措、介久措环湖徒步近年极热，背景是巨型冰川群与雪山倒影。</x:v>
      </x:c>
      <x:c r="K40" s="17" t="str">
        <x:v>热门</x:v>
      </x:c>
      <x:c r="L40" s="23" t="str">
        <x:v>年徒步者 3–5 万人次（估算）</x:v>
      </x:c>
      <x:c r="M40" s="23" t="str">
        <x:v>色乡 → 白玛林措 → 介久措环线</x:v>
      </x:c>
      <x:c r="N40" s="23" t="str">
        <x:v>环线徒步 3–5 日</x:v>
      </x:c>
      <x:c r="O40" s="17" t="str">
        <x:v>OSM</x:v>
      </x:c>
      <x:c r="P40" s="23" t="str">
        <x:v>公开数据不足，按平台活跃度与游客量推算（估算）</x:v>
      </x:c>
    </x:row>
    <x:row r="41" ht="48" customHeight="1">
      <x:c r="B41" s="17" t="n">
        <x:v>36</x:v>
      </x:c>
      <x:c r="C41" s="13" t="str">
        <x:v>启孜峰</x:v>
      </x:c>
      <x:c r="D41" s="13" t="str">
        <x:v>西藏 · 拉萨当雄</x:v>
      </x:c>
      <x:c r="E41" s="17" t="str">
        <x:v>西藏</x:v>
      </x:c>
      <x:c r="F41" s="17" t="str">
        <x:v>念青唐古拉</x:v>
      </x:c>
      <x:c r="G41" s="19" t="n">
        <x:v>6206</x:v>
      </x:c>
      <x:c r="H41" s="21" t="n">
        <x:v>30.32</x:v>
      </x:c>
      <x:c r="I41" s="21" t="n">
        <x:v>90.55</x:v>
      </x:c>
      <x:c r="J41" s="23" t="str">
        <x:v>距拉萨最近的 6000 米级雪山，交通与高海拔适应条件好，是登山学校与商业队的经典训练峰。</x:v>
      </x:c>
      <x:c r="K41" s="17" t="str">
        <x:v>热门</x:v>
      </x:c>
      <x:c r="L41" s="23" t="str">
        <x:v>年登山 300–800 人次（估算）</x:v>
      </x:c>
      <x:c r="M41" s="23" t="str">
        <x:v>羊八井 → 大本营 → C1 → 顶峰</x:v>
      </x:c>
      <x:c r="N41" s="23" t="str">
        <x:v>4–5 日</x:v>
      </x:c>
      <x:c r="O41" s="17" t="str">
        <x:v>手工核对</x:v>
      </x:c>
      <x:c r="P41" s="23" t="str">
        <x:v>公开数据不足，按平台活跃度与游客量推算（估算）</x:v>
      </x:c>
    </x:row>
    <x:row r="42" ht="48" customHeight="1">
      <x:c r="B42" s="17" t="n">
        <x:v>37</x:v>
      </x:c>
      <x:c r="C42" s="13" t="str">
        <x:v>四姑娘山大峰</x:v>
      </x:c>
      <x:c r="D42" s="13" t="str">
        <x:v>四川 · 阿坝小金</x:v>
      </x:c>
      <x:c r="E42" s="17" t="str">
        <x:v>四川</x:v>
      </x:c>
      <x:c r="F42" s="17" t="str">
        <x:v>邛崃山（四姑娘山）</x:v>
      </x:c>
      <x:c r="G42" s="19" t="n">
        <x:v>5025</x:v>
      </x:c>
      <x:c r="H42" s="21" t="n">
        <x:v>31.063</x:v>
      </x:c>
      <x:c r="I42" s="21" t="n">
        <x:v>102.917</x:v>
      </x:c>
      <x:c r="J42" s="23" t="str">
        <x:v>国内最热门的第一座 5000 米雪山，从长坪沟口徒步至大本营后冲顶，雪坡平缓，适合新手第一次登雪山。</x:v>
      </x:c>
      <x:c r="K42" s="17" t="str">
        <x:v>极热</x:v>
      </x:c>
      <x:c r="L42" s="23" t="str">
        <x:v>四姑娘山景区 2024 年接待游客 100.87 万人次（首次破百万），登山者占少数</x:v>
      </x:c>
      <x:c r="M42" s="23" t="str">
        <x:v>长坪村 → 大本营 → 大峰顶</x:v>
      </x:c>
      <x:c r="N42" s="23" t="str">
        <x:v>2 日（BC 冲顶 3–5 小时）</x:v>
      </x:c>
      <x:c r="O42" s="17" t="str">
        <x:v>手工核对（近似）</x:v>
      </x:c>
      <x:c r="P42" s="23" t="str">
        <x:v>四姑娘山景区管理局</x:v>
      </x:c>
    </x:row>
    <x:row r="43" ht="48" customHeight="1">
      <x:c r="B43" s="17" t="n">
        <x:v>38</x:v>
      </x:c>
      <x:c r="C43" s="13" t="str">
        <x:v>四姑娘山二峰</x:v>
      </x:c>
      <x:c r="D43" s="13" t="str">
        <x:v>四川 · 阿坝小金</x:v>
      </x:c>
      <x:c r="E43" s="17" t="str">
        <x:v>四川</x:v>
      </x:c>
      <x:c r="F43" s="17" t="str">
        <x:v>邛崃山</x:v>
      </x:c>
      <x:c r="G43" s="19" t="n">
        <x:v>5276</x:v>
      </x:c>
      <x:c r="H43" s="21" t="n">
        <x:v>31.076</x:v>
      </x:c>
      <x:c r="I43" s="21" t="n">
        <x:v>102.909</x:v>
      </x:c>
      <x:c r="J43" s="23" t="str">
        <x:v>四姑娘山第二高峰，比大峰更陡，需要路绳与冰爪，是 5000 米级的进阶必修课。</x:v>
      </x:c>
      <x:c r="K43" s="17" t="str">
        <x:v>极热</x:v>
      </x:c>
      <x:c r="L43" s="23" t="str">
        <x:v>同上景区口径；二峰年登顶量公开报道约 1 万人次</x:v>
      </x:c>
      <x:c r="M43" s="23" t="str">
        <x:v>长坪村 → 二峰大本营 → 顶峰</x:v>
      </x:c>
      <x:c r="N43" s="23" t="str">
        <x:v>2 日（BC 冲顶 4–6 小时）</x:v>
      </x:c>
      <x:c r="O43" s="17" t="str">
        <x:v>手工核对（近似）</x:v>
      </x:c>
      <x:c r="P43" s="23" t="str">
        <x:v>四姑娘山景区管理局、媒体</x:v>
      </x:c>
    </x:row>
    <x:row r="44" ht="48" customHeight="1">
      <x:c r="B44" s="17" t="n">
        <x:v>39</x:v>
      </x:c>
      <x:c r="C44" s="13" t="str">
        <x:v>四姑娘山三峰</x:v>
      </x:c>
      <x:c r="D44" s="13" t="str">
        <x:v>四川 · 阿坝小金</x:v>
      </x:c>
      <x:c r="E44" s="17" t="str">
        <x:v>四川</x:v>
      </x:c>
      <x:c r="F44" s="17" t="str">
        <x:v>邛崃山</x:v>
      </x:c>
      <x:c r="G44" s="19" t="n">
        <x:v>5355</x:v>
      </x:c>
      <x:c r="H44" s="21" t="n">
        <x:v>31.0888</x:v>
      </x:c>
      <x:c r="I44" s="21" t="n">
        <x:v>102.901</x:v>
      </x:c>
      <x:c r="J44" s="23" t="str">
        <x:v>需要结组与绳索操作的碎石-雪坡混合路线，被称作“技术攀登的入门门槛峰”。</x:v>
      </x:c>
      <x:c r="K44" s="17" t="str">
        <x:v>热门</x:v>
      </x:c>
      <x:c r="L44" s="23" t="str">
        <x:v>年冲顶 3000–5000 人次（估算）</x:v>
      </x:c>
      <x:c r="M44" s="23" t="str">
        <x:v>长坪村 → 三峰大本营 → 顶峰</x:v>
      </x:c>
      <x:c r="N44" s="23" t="str">
        <x:v>2–3 日（冲顶 6–8 小时）</x:v>
      </x:c>
      <x:c r="O44" s="17" t="str">
        <x:v>手工核对（近似）</x:v>
      </x:c>
      <x:c r="P44" s="23" t="str">
        <x:v>公开数据不足，按平台活跃度与游客量推算（估算）</x:v>
      </x:c>
    </x:row>
    <x:row r="45" ht="48" customHeight="1">
      <x:c r="B45" s="17" t="n">
        <x:v>40</x:v>
      </x:c>
      <x:c r="C45" s="13" t="str">
        <x:v>贡嘎山</x:v>
      </x:c>
      <x:c r="D45" s="13" t="str">
        <x:v>四川 · 甘孜康定 / 泸定</x:v>
      </x:c>
      <x:c r="E45" s="17" t="str">
        <x:v>四川</x:v>
      </x:c>
      <x:c r="F45" s="17" t="str">
        <x:v>大雪山</x:v>
      </x:c>
      <x:c r="G45" s="19" t="n">
        <x:v>7556</x:v>
      </x:c>
      <x:c r="H45" s="21" t="n">
        <x:v>29.59583</x:v>
      </x:c>
      <x:c r="I45" s="21" t="n">
        <x:v>101.87917</x:v>
      </x:c>
      <x:c r="J45" s="23" t="str">
        <x:v>“蜀山之王”，登顶难度与死亡率极高（累计登顶仅十余人），环线（子梅村、贡嘎寺）是最著名的观山徒步。</x:v>
      </x:c>
      <x:c r="K45" s="17" t="str">
        <x:v>较热</x:v>
      </x:c>
      <x:c r="L45" s="23" t="str">
        <x:v>年观山徒步者 10 万人次以上（估算）；登顶者累计十余人</x:v>
      </x:c>
      <x:c r="M45" s="23" t="str">
        <x:v>环山徒步：子梅村 → 贡嘎寺 → 玉龙西</x:v>
      </x:c>
      <x:c r="N45" s="23" t="str">
        <x:v>环线徒步 3–5 日；登顶 30 日以上</x:v>
      </x:c>
      <x:c r="O45" s="17" t="str">
        <x:v>Wikidata</x:v>
      </x:c>
      <x:c r="P45" s="23" t="str">
        <x:v>公开数据不足，按平台活跃度与游客量推算（估算）</x:v>
      </x:c>
    </x:row>
    <x:row r="46" ht="48" customHeight="1">
      <x:c r="B46" s="17" t="n">
        <x:v>41</x:v>
      </x:c>
      <x:c r="C46" s="13" t="str">
        <x:v>半脊峰</x:v>
      </x:c>
      <x:c r="D46" s="13" t="str">
        <x:v>四川 · 阿坝理县</x:v>
      </x:c>
      <x:c r="E46" s="17" t="str">
        <x:v>四川</x:v>
      </x:c>
      <x:c r="F46" s="17" t="str">
        <x:v>邛崃山</x:v>
      </x:c>
      <x:c r="G46" s="19" t="n">
        <x:v>5430</x:v>
      </x:c>
      <x:c r="H46" s="21" t="n">
        <x:v>31.23827</x:v>
      </x:c>
      <x:c r="I46" s="21" t="n">
        <x:v>102.91579</x:v>
      </x:c>
      <x:c r="J46" s="23" t="str">
        <x:v>四姑娘山北侧的技术型 5000 米峰，冰岩混合坡是商业化技术训练的经典场地。</x:v>
      </x:c>
      <x:c r="K46" s="17" t="str">
        <x:v>热门</x:v>
      </x:c>
      <x:c r="L46" s="23" t="str">
        <x:v>年登顶 1000–3000 人次（估算）</x:v>
      </x:c>
      <x:c r="M46" s="23" t="str">
        <x:v>毕棚沟 → 大本营 → C1 → 顶峰</x:v>
      </x:c>
      <x:c r="N46" s="23" t="str">
        <x:v>3–4 日</x:v>
      </x:c>
      <x:c r="O46" s="17" t="str">
        <x:v>OSM</x:v>
      </x:c>
      <x:c r="P46" s="23" t="str">
        <x:v>公开数据不足，按平台活跃度与游客量推算（估算）</x:v>
      </x:c>
    </x:row>
    <x:row r="47" ht="48" customHeight="1">
      <x:c r="B47" s="17" t="n">
        <x:v>42</x:v>
      </x:c>
      <x:c r="C47" s="13" t="str">
        <x:v>雀儿山</x:v>
      </x:c>
      <x:c r="D47" s="13" t="str">
        <x:v>四川 · 甘孜德格</x:v>
      </x:c>
      <x:c r="E47" s="17" t="str">
        <x:v>四川</x:v>
      </x:c>
      <x:c r="F47" s="17" t="str">
        <x:v>沙鲁里山</x:v>
      </x:c>
      <x:c r="G47" s="19" t="n">
        <x:v>6168</x:v>
      </x:c>
      <x:c r="H47" s="21" t="n">
        <x:v>31.78583</x:v>
      </x:c>
      <x:c r="I47" s="21" t="n">
        <x:v>99.07278</x:v>
      </x:c>
      <x:c r="J47" s="23" t="str">
        <x:v>川藏北线上的“雄鹰”，冰川与雪坡兼具，是国内 6000 米级最经典的商业化攀登路线。</x:v>
      </x:c>
      <x:c r="K47" s="17" t="str">
        <x:v>热门</x:v>
      </x:c>
      <x:c r="L47" s="23" t="str">
        <x:v>年登顶 500–1000 人次（估算）</x:v>
      </x:c>
      <x:c r="M47" s="23" t="str">
        <x:v>新路海 → 大本营 → C1 → C2 → C3 → 顶峰</x:v>
      </x:c>
      <x:c r="N47" s="23" t="str">
        <x:v>7–9 日</x:v>
      </x:c>
      <x:c r="O47" s="17" t="str">
        <x:v>Wikidata</x:v>
      </x:c>
      <x:c r="P47" s="23" t="str">
        <x:v>公开数据不足，按平台活跃度与游客量推算（估算）</x:v>
      </x:c>
    </x:row>
    <x:row r="48" ht="48" customHeight="1">
      <x:c r="B48" s="17" t="n">
        <x:v>43</x:v>
      </x:c>
      <x:c r="C48" s="13" t="str">
        <x:v>雪宝顶</x:v>
      </x:c>
      <x:c r="D48" s="13" t="str">
        <x:v>四川 · 阿坝松潘</x:v>
      </x:c>
      <x:c r="E48" s="17" t="str">
        <x:v>四川</x:v>
      </x:c>
      <x:c r="F48" s="17" t="str">
        <x:v>岷山</x:v>
      </x:c>
      <x:c r="G48" s="19" t="n">
        <x:v>5588</x:v>
      </x:c>
      <x:c r="H48" s="21" t="n">
        <x:v>32.67583</x:v>
      </x:c>
      <x:c r="I48" s="21" t="n">
        <x:v>103.84667</x:v>
      </x:c>
      <x:c r="J48" s="23" t="str">
        <x:v>岷山主峰，黄龙景区背后的雪峰，岩石与冰雪混合，是成都周边最早被开发的 5000 米级山峰。</x:v>
      </x:c>
      <x:c r="K48" s="17" t="str">
        <x:v>较热</x:v>
      </x:c>
      <x:c r="L48" s="23" t="str">
        <x:v>年登顶 200–500 人次（估算）</x:v>
      </x:c>
      <x:c r="M48" s="23" t="str">
        <x:v>松潘 → 大本营 → C1 → 顶峰</x:v>
      </x:c>
      <x:c r="N48" s="23" t="str">
        <x:v>4–5 日</x:v>
      </x:c>
      <x:c r="O48" s="17" t="str">
        <x:v>Wikidata</x:v>
      </x:c>
      <x:c r="P48" s="23" t="str">
        <x:v>公开数据不足，按平台活跃度与游客量推算（估算）</x:v>
      </x:c>
    </x:row>
    <x:row r="49" ht="48" customHeight="1">
      <x:c r="B49" s="17" t="n">
        <x:v>44</x:v>
      </x:c>
      <x:c r="C49" s="13" t="str">
        <x:v>那玛峰</x:v>
      </x:c>
      <x:c r="D49" s="13" t="str">
        <x:v>四川 · 甘孜康定</x:v>
      </x:c>
      <x:c r="E49" s="17" t="str">
        <x:v>四川</x:v>
      </x:c>
      <x:c r="F49" s="17" t="str">
        <x:v>大雪山</x:v>
      </x:c>
      <x:c r="G49" s="19" t="n">
        <x:v>5588</x:v>
      </x:c>
      <x:c r="H49" s="21" t="n">
        <x:v>29.6186</x:v>
      </x:c>
      <x:c r="I49" s="21" t="n">
        <x:v>101.80122</x:v>
      </x:c>
      <x:c r="J49" s="23" t="str">
        <x:v>贡嘎山西侧的 5000 米级卫峰，登顶可近距离俯瞰贡嘎主峰，是近年国内最火的“看贡嘎”攀登目标。</x:v>
      </x:c>
      <x:c r="K49" s="17" t="str">
        <x:v>极热</x:v>
      </x:c>
      <x:c r="L49" s="23" t="str">
        <x:v>年登顶 2000–4000 人次（估算）</x:v>
      </x:c>
      <x:c r="M49" s="23" t="str">
        <x:v>子梅村 → 大本营 → C1 → 顶峰</x:v>
      </x:c>
      <x:c r="N49" s="23" t="str">
        <x:v>4–5 日</x:v>
      </x:c>
      <x:c r="O49" s="17" t="str">
        <x:v>OSM</x:v>
      </x:c>
      <x:c r="P49" s="23" t="str">
        <x:v>公开数据不足，按平台活跃度与游客量推算（估算）</x:v>
      </x:c>
    </x:row>
    <x:row r="50" ht="48" customHeight="1">
      <x:c r="B50" s="17" t="n">
        <x:v>45</x:v>
      </x:c>
      <x:c r="C50" s="13" t="str">
        <x:v>牛背山</x:v>
      </x:c>
      <x:c r="D50" s="13" t="str">
        <x:v>四川 · 雅安荥经</x:v>
      </x:c>
      <x:c r="E50" s="17" t="str">
        <x:v>四川</x:v>
      </x:c>
      <x:c r="F50" s="17" t="str">
        <x:v>大相岭</x:v>
      </x:c>
      <x:c r="G50" s="19" t="n">
        <x:v>3660</x:v>
      </x:c>
      <x:c r="H50" s="21" t="n">
        <x:v>29.77529</x:v>
      </x:c>
      <x:c r="I50" s="21" t="n">
        <x:v>102.37364</x:v>
      </x:c>
      <x:c r="J50" s="23" t="str">
        <x:v>被称“中国最大的观景平台”，可 360 度俯瞰贡嘎、峨眉、四姑娘山，云海与日照金山出片率极高。</x:v>
      </x:c>
      <x:c r="K50" s="17" t="str">
        <x:v>极热</x:v>
      </x:c>
      <x:c r="L50" s="23" t="str">
        <x:v>年徒步/游览 10 万人次以上（估算）</x:v>
      </x:c>
      <x:c r="M50" s="23" t="str">
        <x:v>冷碛镇 → 徒步或摆渡 → 山顶</x:v>
      </x:c>
      <x:c r="N50" s="23" t="str">
        <x:v>徒步 6–9 小时；车行约 2 小时</x:v>
      </x:c>
      <x:c r="O50" s="17" t="str">
        <x:v>OSM</x:v>
      </x:c>
      <x:c r="P50" s="23" t="str">
        <x:v>公开数据不足，按平台活跃度与游客量推算（估算）</x:v>
      </x:c>
    </x:row>
    <x:row r="51" ht="48" customHeight="1">
      <x:c r="B51" s="17" t="n">
        <x:v>46</x:v>
      </x:c>
      <x:c r="C51" s="13" t="str">
        <x:v>峨眉山</x:v>
      </x:c>
      <x:c r="D51" s="13" t="str">
        <x:v>四川 · 乐山峨眉山</x:v>
      </x:c>
      <x:c r="E51" s="17" t="str">
        <x:v>四川</x:v>
      </x:c>
      <x:c r="F51" s="17" t="str">
        <x:v>峨眉山</x:v>
      </x:c>
      <x:c r="G51" s="19" t="n">
        <x:v>3099</x:v>
      </x:c>
      <x:c r="H51" s="21" t="n">
        <x:v>29.51972</x:v>
      </x:c>
      <x:c r="I51" s="21" t="n">
        <x:v>103.3325</x:v>
      </x:c>
      <x:c r="J51" s="23" t="str">
        <x:v>佛教四大名山之一，金顶为万佛顶下的最高观景点；报国寺至金顶 50 余公里登山道是国内最经典的长距离朝山线路。</x:v>
      </x:c>
      <x:c r="K51" s="17" t="str">
        <x:v>极热</x:v>
      </x:c>
      <x:c r="L51" s="23" t="str">
        <x:v>2023 年景区接待游客突破 560 万人次</x:v>
      </x:c>
      <x:c r="M51" s="23" t="str">
        <x:v>报国寺 → 清音阁 → 洗象池 → 金顶</x:v>
      </x:c>
      <x:c r="N51" s="23" t="str">
        <x:v>徒步 10–14 小时（1–2 日）；索道约 3 小时</x:v>
      </x:c>
      <x:c r="O51" s="17" t="str">
        <x:v>Wikidata</x:v>
      </x:c>
      <x:c r="P51" s="23" t="str">
        <x:v>峨眉山旅游股份、媒体</x:v>
      </x:c>
    </x:row>
    <x:row r="52" ht="48" customHeight="1">
      <x:c r="B52" s="17" t="n">
        <x:v>47</x:v>
      </x:c>
      <x:c r="C52" s="13" t="str">
        <x:v>青城山</x:v>
      </x:c>
      <x:c r="D52" s="13" t="str">
        <x:v>四川 · 成都都江堰</x:v>
      </x:c>
      <x:c r="E52" s="17" t="str">
        <x:v>四川</x:v>
      </x:c>
      <x:c r="F52" s="17" t="str">
        <x:v>龙门山</x:v>
      </x:c>
      <x:c r="G52" s="19" t="n">
        <x:v>1260</x:v>
      </x:c>
      <x:c r="H52" s="21" t="n">
        <x:v>30.9105</x:v>
      </x:c>
      <x:c r="I52" s="21" t="n">
        <x:v>103.55778</x:v>
      </x:c>
      <x:c r="J52" s="23" t="str">
        <x:v>道教发源地之一，“青城天下幽”；前山道观密集、后山溪谷幽深，是成都人周末登山的首选。</x:v>
      </x:c>
      <x:c r="K52" s="17" t="str">
        <x:v>极热</x:v>
      </x:c>
      <x:c r="L52" s="23" t="str">
        <x:v>年游客 300 万人次以上（估算）</x:v>
      </x:c>
      <x:c r="M52" s="23" t="str">
        <x:v>上清宫 → 老君阁（前山）；后山白云群洞</x:v>
      </x:c>
      <x:c r="N52" s="23" t="str">
        <x:v>2–3 小时</x:v>
      </x:c>
      <x:c r="O52" s="17" t="str">
        <x:v>OSM</x:v>
      </x:c>
      <x:c r="P52" s="23" t="str">
        <x:v>公开数据不足，按平台活跃度与游客量推算（估算）</x:v>
      </x:c>
    </x:row>
    <x:row r="53" ht="48" customHeight="1">
      <x:c r="B53" s="17" t="n">
        <x:v>48</x:v>
      </x:c>
      <x:c r="C53" s="13" t="str">
        <x:v>赵公山</x:v>
      </x:c>
      <x:c r="D53" s="13" t="str">
        <x:v>四川 · 成都都江堰</x:v>
      </x:c>
      <x:c r="E53" s="17" t="str">
        <x:v>四川</x:v>
      </x:c>
      <x:c r="F53" s="17" t="str">
        <x:v>龙门山</x:v>
      </x:c>
      <x:c r="G53" s="19" t="n">
        <x:v>2434</x:v>
      </x:c>
      <x:c r="H53" s="21" t="n">
        <x:v>30.97662</x:v>
      </x:c>
      <x:c r="I53" s="21" t="n">
        <x:v>103.51659</x:v>
      </x:c>
      <x:c r="J53" s="23" t="str">
        <x:v>成都驴友的“入门第一峰”（爬山不过赵公山不算入门），竹林与箭竹坡连续陡升，途中可俯瞰都江堰与成都平原。</x:v>
      </x:c>
      <x:c r="K53" s="17" t="str">
        <x:v>热门</x:v>
      </x:c>
      <x:c r="L53" s="23" t="str">
        <x:v>年徒步 5–10 万人次（估算）</x:v>
      </x:c>
      <x:c r="M53" s="23" t="str">
        <x:v>泰安古镇 → 玉皇顶 → 赵公山顶</x:v>
      </x:c>
      <x:c r="N53" s="23" t="str">
        <x:v>4–6 小时</x:v>
      </x:c>
      <x:c r="O53" s="17" t="str">
        <x:v>OSM</x:v>
      </x:c>
      <x:c r="P53" s="23" t="str">
        <x:v>公开数据不足，按平台活跃度与游客量推算（估算）</x:v>
      </x:c>
    </x:row>
    <x:row r="54" ht="48" customHeight="1">
      <x:c r="B54" s="17" t="n">
        <x:v>49</x:v>
      </x:c>
      <x:c r="C54" s="13" t="str">
        <x:v>九峰山</x:v>
      </x:c>
      <x:c r="D54" s="13" t="str">
        <x:v>四川 · 成都彭州</x:v>
      </x:c>
      <x:c r="E54" s="17" t="str">
        <x:v>四川</x:v>
      </x:c>
      <x:c r="F54" s="17" t="str">
        <x:v>龙门山</x:v>
      </x:c>
      <x:c r="G54" s="19" t="n">
        <x:v>3315</x:v>
      </x:c>
      <x:c r="H54" s="21" t="n">
        <x:v>31.1994</x:v>
      </x:c>
      <x:c r="I54" s="21" t="n">
        <x:v>103.8556</x:v>
      </x:c>
      <x:c r="J54" s="23" t="str">
        <x:v>成都周边海拔最高的单日徒步目标，前段峡谷飞瀑、后段陡升箭竹坡，冬季有雾凇与冰挂。</x:v>
      </x:c>
      <x:c r="K54" s="17" t="str">
        <x:v>热门</x:v>
      </x:c>
      <x:c r="L54" s="23" t="str">
        <x:v>年徒步 3–5 万人次（估算）</x:v>
      </x:c>
      <x:c r="M54" s="23" t="str">
        <x:v>白鹿镇塘坝村 → 金顶</x:v>
      </x:c>
      <x:c r="N54" s="23" t="str">
        <x:v>6–9 小时</x:v>
      </x:c>
      <x:c r="O54" s="17" t="str">
        <x:v>手工核对（近似）</x:v>
      </x:c>
      <x:c r="P54" s="23" t="str">
        <x:v>公开数据不足，按平台活跃度与游客量推算（估算）</x:v>
      </x:c>
    </x:row>
    <x:row r="55" ht="48" customHeight="1">
      <x:c r="B55" s="17" t="n">
        <x:v>50</x:v>
      </x:c>
      <x:c r="C55" s="13" t="str">
        <x:v>缙云山</x:v>
      </x:c>
      <x:c r="D55" s="13" t="str">
        <x:v>重庆 · 北碚</x:v>
      </x:c>
      <x:c r="E55" s="17" t="str">
        <x:v>重庆</x:v>
      </x:c>
      <x:c r="F55" s="17" t="str">
        <x:v>缙云山</x:v>
      </x:c>
      <x:c r="G55" s="19" t="n">
        <x:v>1050</x:v>
      </x:c>
      <x:c r="H55" s="21" t="n">
        <x:v>29.84085</x:v>
      </x:c>
      <x:c r="I55" s="21" t="n">
        <x:v>106.39122</x:v>
      </x:c>
      <x:c r="J55" s="23" t="str">
        <x:v>重庆主城的后山，九峰连绵、古刹缙云寺所在，夜登看渝中半岛夜景是本地热门玩法。</x:v>
      </x:c>
      <x:c r="K55" s="17" t="str">
        <x:v>极热</x:v>
      </x:c>
      <x:c r="L55" s="23" t="str">
        <x:v>年登山 100 万人次以上（估算）</x:v>
      </x:c>
      <x:c r="M55" s="23" t="str">
        <x:v>北温泉 → 缙云寺 → 狮子峰</x:v>
      </x:c>
      <x:c r="N55" s="23" t="str">
        <x:v>2–3 小时</x:v>
      </x:c>
      <x:c r="O55" s="17" t="str">
        <x:v>OSM 狮子峰</x:v>
      </x:c>
      <x:c r="P55" s="23" t="str">
        <x:v>公开数据不足，按平台活跃度与游客量推算（估算）</x:v>
      </x:c>
    </x:row>
    <x:row r="56" ht="48" customHeight="1">
      <x:c r="B56" s="17" t="n">
        <x:v>51</x:v>
      </x:c>
      <x:c r="C56" s="13" t="str">
        <x:v>金佛山</x:v>
      </x:c>
      <x:c r="D56" s="13" t="str">
        <x:v>重庆 · 南川</x:v>
      </x:c>
      <x:c r="E56" s="17" t="str">
        <x:v>重庆</x:v>
      </x:c>
      <x:c r="F56" s="17" t="str">
        <x:v>大娄山</x:v>
      </x:c>
      <x:c r="G56" s="19" t="n">
        <x:v>2238</x:v>
      </x:c>
      <x:c r="H56" s="21" t="n">
        <x:v>29.06667</x:v>
      </x:c>
      <x:c r="I56" s="21" t="n">
        <x:v>107.3</x:v>
      </x:c>
      <x:c r="J56" s="23" t="str">
        <x:v>喀斯特台原山地，古佛洞与生态石林著称，冬季雪景吸引大量重庆市民。</x:v>
      </x:c>
      <x:c r="K56" s="17" t="str">
        <x:v>热门</x:v>
      </x:c>
      <x:c r="L56" s="23" t="str">
        <x:v>年游客 200 万人次以上（估算）</x:v>
      </x:c>
      <x:c r="M56" s="23" t="str">
        <x:v>西坡索道 → 风吹岭 → 主峰</x:v>
      </x:c>
      <x:c r="N56" s="23" t="str">
        <x:v>2–4 小时</x:v>
      </x:c>
      <x:c r="O56" s="17" t="str">
        <x:v>Wikidata</x:v>
      </x:c>
      <x:c r="P56" s="23" t="str">
        <x:v>公开数据不足，按平台活跃度与游客量推算（估算）</x:v>
      </x:c>
    </x:row>
    <x:row r="57" ht="48" customHeight="1">
      <x:c r="B57" s="17" t="n">
        <x:v>52</x:v>
      </x:c>
      <x:c r="C57" s="13" t="str">
        <x:v>仙女山</x:v>
      </x:c>
      <x:c r="D57" s="13" t="str">
        <x:v>重庆 · 武隆</x:v>
      </x:c>
      <x:c r="E57" s="17" t="str">
        <x:v>重庆</x:v>
      </x:c>
      <x:c r="F57" s="17" t="str">
        <x:v>武陵山</x:v>
      </x:c>
      <x:c r="G57" s="19" t="n">
        <x:v>2033</x:v>
      </x:c>
      <x:c r="H57" s="21" t="n">
        <x:v>29.46583</x:v>
      </x:c>
      <x:c r="I57" s="21" t="n">
        <x:v>107.69222</x:v>
      </x:c>
      <x:c r="J57" s="23" t="str">
        <x:v>南方少有的高山草原，夏季避暑、冬季赏雪，与天生三桥、芙蓉洞构成武隆经典两日线。</x:v>
      </x:c>
      <x:c r="K57" s="17" t="str">
        <x:v>热门</x:v>
      </x:c>
      <x:c r="L57" s="23" t="str">
        <x:v>年游客 300 万人次以上（估算）</x:v>
      </x:c>
      <x:c r="M57" s="23" t="str">
        <x:v>仙女山镇 → 大草原 → 主峰</x:v>
      </x:c>
      <x:c r="N57" s="23" t="str">
        <x:v>1–2 小时</x:v>
      </x:c>
      <x:c r="O57" s="17" t="str">
        <x:v>Wikidata</x:v>
      </x:c>
      <x:c r="P57" s="23" t="str">
        <x:v>公开数据不足，按平台活跃度与游客量推算（估算）</x:v>
      </x:c>
    </x:row>
    <x:row r="58" ht="48" customHeight="1">
      <x:c r="B58" s="17" t="n">
        <x:v>53</x:v>
      </x:c>
      <x:c r="C58" s="13" t="str">
        <x:v>哈巴雪山</x:v>
      </x:c>
      <x:c r="D58" s="13" t="str">
        <x:v>云南 · 迪庆香格里拉</x:v>
      </x:c>
      <x:c r="E58" s="17" t="str">
        <x:v>云南</x:v>
      </x:c>
      <x:c r="F58" s="17" t="str">
        <x:v>哈巴雪山（横断山）</x:v>
      </x:c>
      <x:c r="G58" s="19" t="n">
        <x:v>5396</x:v>
      </x:c>
      <x:c r="H58" s="21" t="n">
        <x:v>27.31833</x:v>
      </x:c>
      <x:c r="I58" s="21" t="n">
        <x:v>100.1</x:v>
      </x:c>
      <x:c r="J58" s="23" t="str">
        <x:v>国内最经典的 5000 米级雪山攀登，被称“入门雪山的毕业课”；从哈巴村到顶峰穿越针叶林、雪线草甸与月亮湾雪坡。</x:v>
      </x:c>
      <x:c r="K58" s="17" t="str">
        <x:v>极热</x:v>
      </x:c>
      <x:c r="L58" s="23" t="str">
        <x:v>日最大环境容量 2161 人次，其中登顶线 400 人/日</x:v>
      </x:c>
      <x:c r="M58" s="23" t="str">
        <x:v>哈巴村 → 大本营 → C1 → 顶峰</x:v>
      </x:c>
      <x:c r="N58" s="23" t="str">
        <x:v>3–4 日（冲顶 6–8 小时）</x:v>
      </x:c>
      <x:c r="O58" s="17" t="str">
        <x:v>Wikidata</x:v>
      </x:c>
      <x:c r="P58" s="23" t="str">
        <x:v>哈巴雪山生态旅游容量公告</x:v>
      </x:c>
    </x:row>
    <x:row r="59" ht="48" customHeight="1">
      <x:c r="B59" s="17" t="n">
        <x:v>54</x:v>
      </x:c>
      <x:c r="C59" s="13" t="str">
        <x:v>玉龙雪山</x:v>
      </x:c>
      <x:c r="D59" s="13" t="str">
        <x:v>云南 · 丽江</x:v>
      </x:c>
      <x:c r="E59" s="17" t="str">
        <x:v>云南</x:v>
      </x:c>
      <x:c r="F59" s="17" t="str">
        <x:v>玉龙雪山</x:v>
      </x:c>
      <x:c r="G59" s="19" t="n">
        <x:v>5596</x:v>
      </x:c>
      <x:c r="H59" s="21" t="n">
        <x:v>27.09841</x:v>
      </x:c>
      <x:c r="I59" s="21" t="n">
        <x:v>100.1767</x:v>
      </x:c>
      <x:c r="J59" s="23" t="str">
        <x:v>北半球最南端的现代冰川雪山，扇子陡至今无人登顶；索道可达 4506 米冰川公园，是丽江地标。</x:v>
      </x:c>
      <x:c r="K59" s="17" t="str">
        <x:v>极热</x:v>
      </x:c>
      <x:c r="L59" s="23" t="str">
        <x:v>年游客 300 万人次以上（估算）</x:v>
      </x:c>
      <x:c r="M59" s="23" t="str">
        <x:v>甘海子 → 大索道 → 冰川公园</x:v>
      </x:c>
      <x:c r="N59" s="23" t="str">
        <x:v>0.5–1 小时（索道可达）；顶峰不对公众开放</x:v>
      </x:c>
      <x:c r="O59" s="17" t="str">
        <x:v>OSM</x:v>
      </x:c>
      <x:c r="P59" s="23" t="str">
        <x:v>公开数据不足，按平台活跃度与游客量推算（估算）</x:v>
      </x:c>
    </x:row>
    <x:row r="60" ht="48" customHeight="1">
      <x:c r="B60" s="17" t="n">
        <x:v>55</x:v>
      </x:c>
      <x:c r="C60" s="13" t="str">
        <x:v>苍山</x:v>
      </x:c>
      <x:c r="D60" s="13" t="str">
        <x:v>云南 · 大理</x:v>
      </x:c>
      <x:c r="E60" s="17" t="str">
        <x:v>云南</x:v>
      </x:c>
      <x:c r="F60" s="17" t="str">
        <x:v>苍山（云岭）</x:v>
      </x:c>
      <x:c r="G60" s="19" t="n">
        <x:v>4122</x:v>
      </x:c>
      <x:c r="H60" s="21" t="n">
        <x:v>25.64894</x:v>
      </x:c>
      <x:c r="I60" s="21" t="n">
        <x:v>100.09801</x:v>
      </x:c>
      <x:c r="J60" s="23" t="str">
        <x:v>洱海西岸的十九峰十八溪，玉带云游路横切山腰，马龙峰为最高点，是滇西经典穿越线。</x:v>
      </x:c>
      <x:c r="K60" s="17" t="str">
        <x:v>极热</x:v>
      </x:c>
      <x:c r="L60" s="23" t="str">
        <x:v>年登山/索道游览 100 万人次以上（估算）</x:v>
      </x:c>
      <x:c r="M60" s="23" t="str">
        <x:v>感通寺 → 玉带路 → 洗马潭 → 马龙峰</x:v>
      </x:c>
      <x:c r="N60" s="23" t="str">
        <x:v>5–8 小时</x:v>
      </x:c>
      <x:c r="O60" s="17" t="str">
        <x:v>OSM 马龙峰</x:v>
      </x:c>
      <x:c r="P60" s="23" t="str">
        <x:v>公开数据不足，按平台活跃度与游客量推算（估算）</x:v>
      </x:c>
    </x:row>
    <x:row r="61" ht="48" customHeight="1">
      <x:c r="B61" s="17" t="n">
        <x:v>56</x:v>
      </x:c>
      <x:c r="C61" s="13" t="str">
        <x:v>轿子雪山</x:v>
      </x:c>
      <x:c r="D61" s="13" t="str">
        <x:v>云南 · 昆明禄劝</x:v>
      </x:c>
      <x:c r="E61" s="17" t="str">
        <x:v>云南</x:v>
      </x:c>
      <x:c r="F61" s="17" t="str">
        <x:v>拱王山</x:v>
      </x:c>
      <x:c r="G61" s="19" t="n">
        <x:v>4223</x:v>
      </x:c>
      <x:c r="H61" s="21" t="n">
        <x:v>26.09295</x:v>
      </x:c>
      <x:c r="I61" s="21" t="n">
        <x:v>102.84975</x:v>
      </x:c>
      <x:c r="J61" s="23" t="str">
        <x:v>昆明最近的雪山，冬季积雪、春秋杜鹃与高山湖泊，是云南人最早接触的 4000 米级徒步地。</x:v>
      </x:c>
      <x:c r="K61" s="17" t="str">
        <x:v>热门</x:v>
      </x:c>
      <x:c r="L61" s="23" t="str">
        <x:v>年游客 100 万人次以上（估算）</x:v>
      </x:c>
      <x:c r="M61" s="23" t="str">
        <x:v>转龙镇 → 索道 → 大黑箐 → 主峰</x:v>
      </x:c>
      <x:c r="N61" s="23" t="str">
        <x:v>3–5 小时</x:v>
      </x:c>
      <x:c r="O61" s="17" t="str">
        <x:v>OSM</x:v>
      </x:c>
      <x:c r="P61" s="23" t="str">
        <x:v>公开数据不足，按平台活跃度与游客量推算（估算）</x:v>
      </x:c>
    </x:row>
    <x:row r="62" ht="48" customHeight="1">
      <x:c r="B62" s="17" t="n">
        <x:v>57</x:v>
      </x:c>
      <x:c r="C62" s="13" t="str">
        <x:v>梅里雪山（卡瓦格博）</x:v>
      </x:c>
      <x:c r="D62" s="13" t="str">
        <x:v>云南 · 迪庆德钦</x:v>
      </x:c>
      <x:c r="E62" s="17" t="str">
        <x:v>云南</x:v>
      </x:c>
      <x:c r="F62" s="17" t="str">
        <x:v>梅里雪山（怒山）</x:v>
      </x:c>
      <x:c r="G62" s="19" t="n">
        <x:v>6740</x:v>
      </x:c>
      <x:c r="H62" s="21" t="n">
        <x:v>28.4394</x:v>
      </x:c>
      <x:c r="I62" s="21" t="n">
        <x:v>98.68438</x:v>
      </x:c>
      <x:c r="J62" s="23" t="str">
        <x:v>藏区八大神山之首，至今无人登顶（1996 年起禁止攀登）。雨崩徒步与飞来寺观“日照金山”是其最著名的体验。</x:v>
      </x:c>
      <x:c r="K62" s="17" t="str">
        <x:v>极热</x:v>
      </x:c>
      <x:c r="L62" s="23" t="str">
        <x:v>年观山/雨崩徒步者 10 万人次以上（估算）</x:v>
      </x:c>
      <x:c r="M62" s="23" t="str">
        <x:v>西当村 → 雨崩 → 冰湖/神瀑环线</x:v>
      </x:c>
      <x:c r="N62" s="23" t="str">
        <x:v>雨崩徒步 4–5 日</x:v>
      </x:c>
      <x:c r="O62" s="17" t="str">
        <x:v>OSM</x:v>
      </x:c>
      <x:c r="P62" s="23" t="str">
        <x:v>公开数据不足，按平台活跃度与游客量推算（估算）</x:v>
      </x:c>
    </x:row>
    <x:row r="63" ht="48" customHeight="1">
      <x:c r="B63" s="17" t="n">
        <x:v>58</x:v>
      </x:c>
      <x:c r="C63" s="13" t="str">
        <x:v>梵净山</x:v>
      </x:c>
      <x:c r="D63" s="13" t="str">
        <x:v>贵州 · 铜仁江口</x:v>
      </x:c>
      <x:c r="E63" s="17" t="str">
        <x:v>贵州</x:v>
      </x:c>
      <x:c r="F63" s="17" t="str">
        <x:v>武陵山</x:v>
      </x:c>
      <x:c r="G63" s="19" t="n">
        <x:v>2572</x:v>
      </x:c>
      <x:c r="H63" s="21" t="n">
        <x:v>27.92028</x:v>
      </x:c>
      <x:c r="I63" s="21" t="n">
        <x:v>108.69028</x:v>
      </x:c>
      <x:c r="J63" s="23" t="str">
        <x:v>世界自然遗产、弥勒道场，红云金顶与老金顶双峰对峙，蘑菇石与山顶寺观是标志景观。</x:v>
      </x:c>
      <x:c r="K63" s="17" t="str">
        <x:v>极热</x:v>
      </x:c>
      <x:c r="L63" s="23" t="str">
        <x:v>2024 年接待游客 198 万人次（含入境 3.7 万），日限流 1 万人</x:v>
      </x:c>
      <x:c r="M63" s="23" t="str">
        <x:v>索道上站 → 万宝岩 → 红云金顶</x:v>
      </x:c>
      <x:c r="N63" s="23" t="str">
        <x:v>2–3 小时（含索道与排队）</x:v>
      </x:c>
      <x:c r="O63" s="17" t="str">
        <x:v>Wikidata</x:v>
      </x:c>
      <x:c r="P63" s="23" t="str">
        <x:v>贵州省人大、景区公告</x:v>
      </x:c>
    </x:row>
    <x:row r="64" ht="48" customHeight="1">
      <x:c r="B64" s="17" t="n">
        <x:v>59</x:v>
      </x:c>
      <x:c r="C64" s="13" t="str">
        <x:v>韭菜坪</x:v>
      </x:c>
      <x:c r="D64" s="13" t="str">
        <x:v>贵州 · 六盘水钟山 / 毕节赫章</x:v>
      </x:c>
      <x:c r="E64" s="17" t="str">
        <x:v>贵州</x:v>
      </x:c>
      <x:c r="F64" s="17" t="str">
        <x:v>乌蒙山</x:v>
      </x:c>
      <x:c r="G64" s="19" t="n">
        <x:v>2900.6</x:v>
      </x:c>
      <x:c r="H64" s="21" t="n">
        <x:v>26.85248</x:v>
      </x:c>
      <x:c r="I64" s="21" t="n">
        <x:v>104.69329</x:v>
      </x:c>
      <x:c r="J64" s="23" t="str">
        <x:v>贵州最高峰，万亩野生韭菜花海在初秋绽放，云海与日出条件是贵州最稳定的山之一。</x:v>
      </x:c>
      <x:c r="K64" s="17" t="str">
        <x:v>热门</x:v>
      </x:c>
      <x:c r="L64" s="23" t="str">
        <x:v>年游客 100 万人次以上（估算）</x:v>
      </x:c>
      <x:c r="M64" s="23" t="str">
        <x:v>大湾镇 → 索道/摆渡 → 贵州之巅</x:v>
      </x:c>
      <x:c r="N64" s="23" t="str">
        <x:v>1–3 小时</x:v>
      </x:c>
      <x:c r="O64" s="17" t="str">
        <x:v>OSM</x:v>
      </x:c>
      <x:c r="P64" s="23" t="str">
        <x:v>公开数据不足，按平台活跃度与游客量推算（估算）</x:v>
      </x:c>
    </x:row>
    <x:row r="65" ht="48" customHeight="1">
      <x:c r="B65" s="17" t="n">
        <x:v>60</x:v>
      </x:c>
      <x:c r="C65" s="13" t="str">
        <x:v>猫儿山</x:v>
      </x:c>
      <x:c r="D65" s="13" t="str">
        <x:v>广西 · 桂林兴安</x:v>
      </x:c>
      <x:c r="E65" s="17" t="str">
        <x:v>广西</x:v>
      </x:c>
      <x:c r="F65" s="17" t="str">
        <x:v>越城岭</x:v>
      </x:c>
      <x:c r="G65" s="19" t="n">
        <x:v>2141.5</x:v>
      </x:c>
      <x:c r="H65" s="21" t="n">
        <x:v>25.8881</x:v>
      </x:c>
      <x:c r="I65" s="21" t="n">
        <x:v>110.4372</x:v>
      </x:c>
      <x:c r="J65" s="23" t="str">
        <x:v>华南第一高峰，漓江与资江发源地，老山界红军故道、山顶云海与铁杉林著称。</x:v>
      </x:c>
      <x:c r="K65" s="17" t="str">
        <x:v>热门</x:v>
      </x:c>
      <x:c r="L65" s="23" t="str">
        <x:v>年游客/徒步 30 万人次以上（估算）</x:v>
      </x:c>
      <x:c r="M65" s="23" t="str">
        <x:v>高寨村 → 老山界 → 山顶</x:v>
      </x:c>
      <x:c r="N65" s="23" t="str">
        <x:v>5–8 小时；景区车约 1.5 小时</x:v>
      </x:c>
      <x:c r="O65" s="17" t="str">
        <x:v>手工核对</x:v>
      </x:c>
      <x:c r="P65" s="23" t="str">
        <x:v>公开数据不足，按平台活跃度与游客量推算（估算）</x:v>
      </x:c>
    </x:row>
    <x:row r="66" ht="48" customHeight="1">
      <x:c r="B66" s="17" t="n">
        <x:v>61</x:v>
      </x:c>
      <x:c r="C66" s="13" t="str">
        <x:v>五指山</x:v>
      </x:c>
      <x:c r="D66" s="13" t="str">
        <x:v>海南 · 五指山</x:v>
      </x:c>
      <x:c r="E66" s="17" t="str">
        <x:v>海南</x:v>
      </x:c>
      <x:c r="F66" s="17" t="str">
        <x:v>五指山</x:v>
      </x:c>
      <x:c r="G66" s="19" t="n">
        <x:v>1867</x:v>
      </x:c>
      <x:c r="H66" s="21" t="n">
        <x:v>18.89699</x:v>
      </x:c>
      <x:c r="I66" s="21" t="n">
        <x:v>109.7016</x:v>
      </x:c>
      <x:c r="J66" s="23" t="str">
        <x:v>海南岛最高峰，热带雨林与云雾带环绕，登山道原始陡峭，是海南最硬核的徒步路线。</x:v>
      </x:c>
      <x:c r="K66" s="17" t="str">
        <x:v>热门</x:v>
      </x:c>
      <x:c r="L66" s="23" t="str">
        <x:v>年登山 20 万人次以上（估算）</x:v>
      </x:c>
      <x:c r="M66" s="23" t="str">
        <x:v>水满乡 → 登山道 → 主峰</x:v>
      </x:c>
      <x:c r="N66" s="23" t="str">
        <x:v>4–6 小时</x:v>
      </x:c>
      <x:c r="O66" s="17" t="str">
        <x:v>OSM</x:v>
      </x:c>
      <x:c r="P66" s="23" t="str">
        <x:v>公开数据不足，按平台活跃度与游客量推算（估算）</x:v>
      </x:c>
    </x:row>
    <x:row r="67" ht="48" customHeight="1">
      <x:c r="B67" s="17" t="n">
        <x:v>62</x:v>
      </x:c>
      <x:c r="C67" s="13" t="str">
        <x:v>梧桐山</x:v>
      </x:c>
      <x:c r="D67" s="13" t="str">
        <x:v>广东 · 深圳</x:v>
      </x:c>
      <x:c r="E67" s="17" t="str">
        <x:v>广东</x:v>
      </x:c>
      <x:c r="F67" s="17" t="str">
        <x:v>梧桐山</x:v>
      </x:c>
      <x:c r="G67" s="19" t="n">
        <x:v>943.7</x:v>
      </x:c>
      <x:c r="H67" s="21" t="n">
        <x:v>22.58228</x:v>
      </x:c>
      <x:c r="I67" s="21" t="n">
        <x:v>114.21464</x:v>
      </x:c>
      <x:c r="J67" s="23" t="str">
        <x:v>深圳最高峰，鹏城第一峰。泰山涧、凌云道、碧桐道等多条山径自梧桐山村起登，山顶可俯瞰深圳、香港与大鹏湾。</x:v>
      </x:c>
      <x:c r="K67" s="17" t="str">
        <x:v>极热</x:v>
      </x:c>
      <x:c r="L67" s="23" t="str">
        <x:v>2023 年景区救援 203 起、出动 1991 人次；年登山人次无官方口径统计</x:v>
      </x:c>
      <x:c r="M67" s="23" t="str">
        <x:v>梧桐山村 → 泰山涧 → 大梧桐顶</x:v>
      </x:c>
      <x:c r="N67" s="23" t="str">
        <x:v>2–3.5 小时</x:v>
      </x:c>
      <x:c r="O67" s="17" t="str">
        <x:v>Wikidata</x:v>
      </x:c>
      <x:c r="P67" s="23" t="str">
        <x:v>深圳梧桐山景区、媒体报道</x:v>
      </x:c>
    </x:row>
    <x:row r="68" ht="48" customHeight="1">
      <x:c r="B68" s="17" t="n">
        <x:v>63</x:v>
      </x:c>
      <x:c r="C68" s="13" t="str">
        <x:v>七娘山</x:v>
      </x:c>
      <x:c r="D68" s="13" t="str">
        <x:v>广东 · 深圳大鹏</x:v>
      </x:c>
      <x:c r="E68" s="17" t="str">
        <x:v>广东</x:v>
      </x:c>
      <x:c r="F68" s="17" t="str">
        <x:v>七娘山</x:v>
      </x:c>
      <x:c r="G68" s="19" t="n">
        <x:v>869</x:v>
      </x:c>
      <x:c r="H68" s="21" t="n">
        <x:v>22.525</x:v>
      </x:c>
      <x:c r="I68" s="21" t="n">
        <x:v>114.5433</x:v>
      </x:c>
      <x:c r="J68" s="23" t="str">
        <x:v>深圳唯一需要预约的山，海景登山代表，山脊线可俯瞰大亚湾与东西涌海岸线。</x:v>
      </x:c>
      <x:c r="K68" s="17" t="str">
        <x:v>极热</x:v>
      </x:c>
      <x:c r="L68" s="23" t="str">
        <x:v>年登山 50 万人次以上（估算，需预约）</x:v>
      </x:c>
      <x:c r="M68" s="23" t="str">
        <x:v>七娘山矿山水库 → 主峰 → 香车水库</x:v>
      </x:c>
      <x:c r="N68" s="23" t="str">
        <x:v>3–4 小时</x:v>
      </x:c>
      <x:c r="O68" s="17" t="str">
        <x:v>Wikidata</x:v>
      </x:c>
      <x:c r="P68" s="23" t="str">
        <x:v>公开数据不足，按平台活跃度与游客量推算（估算）</x:v>
      </x:c>
    </x:row>
    <x:row r="69" ht="48" customHeight="1">
      <x:c r="B69" s="17" t="n">
        <x:v>64</x:v>
      </x:c>
      <x:c r="C69" s="13" t="str">
        <x:v>白云山（摩星岭）</x:v>
      </x:c>
      <x:c r="D69" s="13" t="str">
        <x:v>广东 · 广州</x:v>
      </x:c>
      <x:c r="E69" s="17" t="str">
        <x:v>广东</x:v>
      </x:c>
      <x:c r="F69" s="17" t="str">
        <x:v>白云山</x:v>
      </x:c>
      <x:c r="G69" s="19" t="n">
        <x:v>382</x:v>
      </x:c>
      <x:c r="H69" s="21" t="n">
        <x:v>23.17307</x:v>
      </x:c>
      <x:c r="I69" s="21" t="n">
        <x:v>113.56518</x:v>
      </x:c>
      <x:c r="J69" s="23" t="str">
        <x:v>广州市区最近的绿肺，摩星岭为广州市最高点，云台花园、能仁寺与蒲谷云海是城市登山代表。</x:v>
      </x:c>
      <x:c r="K69" s="17" t="str">
        <x:v>极热</x:v>
      </x:c>
      <x:c r="L69" s="23" t="str">
        <x:v>年入园 300 万人次以上（估算）</x:v>
      </x:c>
      <x:c r="M69" s="23" t="str">
        <x:v>云台花园/梅花园门 → 摩星岭</x:v>
      </x:c>
      <x:c r="N69" s="23" t="str">
        <x:v>1–2 小时</x:v>
      </x:c>
      <x:c r="O69" s="17" t="str">
        <x:v>OSM</x:v>
      </x:c>
      <x:c r="P69" s="23" t="str">
        <x:v>公开数据不足，按平台活跃度与游客量推算（估算）</x:v>
      </x:c>
    </x:row>
    <x:row r="70" ht="48" customHeight="1">
      <x:c r="B70" s="17" t="n">
        <x:v>65</x:v>
      </x:c>
      <x:c r="C70" s="13" t="str">
        <x:v>天堂顶</x:v>
      </x:c>
      <x:c r="D70" s="13" t="str">
        <x:v>广东 · 广州从化</x:v>
      </x:c>
      <x:c r="E70" s="17" t="str">
        <x:v>广东</x:v>
      </x:c>
      <x:c r="F70" s="17" t="str">
        <x:v>南昆山</x:v>
      </x:c>
      <x:c r="G70" s="19" t="n">
        <x:v>1210</x:v>
      </x:c>
      <x:c r="H70" s="21" t="n">
        <x:v>23.6546</x:v>
      </x:c>
      <x:c r="I70" s="21" t="n">
        <x:v>113.814</x:v>
      </x:c>
      <x:c r="J70" s="23" t="str">
        <x:v>广州最高峰，与石门国家森林公园相连，春季杜鹃、夏季避暑，是广州驴友的进阶线路。</x:v>
      </x:c>
      <x:c r="K70" s="17" t="str">
        <x:v>热门</x:v>
      </x:c>
      <x:c r="L70" s="23" t="str">
        <x:v>年登山 30 万人次以上（估算）</x:v>
      </x:c>
      <x:c r="M70" s="23" t="str">
        <x:v>石门国家森林公园 → 天堂顶</x:v>
      </x:c>
      <x:c r="N70" s="23" t="str">
        <x:v>4–6 小时</x:v>
      </x:c>
      <x:c r="O70" s="17" t="str">
        <x:v>Wikidata</x:v>
      </x:c>
      <x:c r="P70" s="23" t="str">
        <x:v>公开数据不足，按平台活跃度与游客量推算（估算）</x:v>
      </x:c>
    </x:row>
    <x:row r="71" ht="48" customHeight="1">
      <x:c r="B71" s="17" t="n">
        <x:v>66</x:v>
      </x:c>
      <x:c r="C71" s="13" t="str">
        <x:v>船底顶</x:v>
      </x:c>
      <x:c r="D71" s="13" t="str">
        <x:v>广东 · 韶关曲江 / 乳源</x:v>
      </x:c>
      <x:c r="E71" s="17" t="str">
        <x:v>广东</x:v>
      </x:c>
      <x:c r="F71" s="17" t="str">
        <x:v>大东山</x:v>
      </x:c>
      <x:c r="G71" s="19" t="n">
        <x:v>1586</x:v>
      </x:c>
      <x:c r="H71" s="21" t="n">
        <x:v>24.48147</x:v>
      </x:c>
      <x:c r="I71" s="21" t="n">
        <x:v>113.26113</x:v>
      </x:c>
      <x:c r="J71" s="23" t="str">
        <x:v>广东驴友的“毕业考核”，十二灶顶与船底顶的高山草甸、乱石坡辨识度极高，强度大。</x:v>
      </x:c>
      <x:c r="K71" s="17" t="str">
        <x:v>热门</x:v>
      </x:c>
      <x:c r="L71" s="23" t="str">
        <x:v>年登山 10 万人次以上（估算）</x:v>
      </x:c>
      <x:c r="M71" s="23" t="str">
        <x:v>龙归 / 乳源大峡谷 → 船底顶</x:v>
      </x:c>
      <x:c r="N71" s="23" t="str">
        <x:v>1–2 日（单日 10–14 小时）</x:v>
      </x:c>
      <x:c r="O71" s="17" t="str">
        <x:v>OSM</x:v>
      </x:c>
      <x:c r="P71" s="23" t="str">
        <x:v>公开数据不足，按平台活跃度与游客量推算（估算）</x:v>
      </x:c>
    </x:row>
    <x:row r="72" ht="48" customHeight="1">
      <x:c r="B72" s="17" t="n">
        <x:v>67</x:v>
      </x:c>
      <x:c r="C72" s="13" t="str">
        <x:v>罗浮山</x:v>
      </x:c>
      <x:c r="D72" s="13" t="str">
        <x:v>广东 · 惠州博罗</x:v>
      </x:c>
      <x:c r="E72" s="17" t="str">
        <x:v>广东</x:v>
      </x:c>
      <x:c r="F72" s="17" t="str">
        <x:v>罗浮山</x:v>
      </x:c>
      <x:c r="G72" s="19" t="n">
        <x:v>1296</x:v>
      </x:c>
      <x:c r="H72" s="21" t="n">
        <x:v>23.26752</x:v>
      </x:c>
      <x:c r="I72" s="21" t="n">
        <x:v>114.03209</x:v>
      </x:c>
      <x:c r="J72" s="23" t="str">
        <x:v>道教十大洞天之第七洞天，葛洪炼丹处，飞云顶为最高点，千米崖与狮子峰步道极具挑战。</x:v>
      </x:c>
      <x:c r="K72" s="17" t="str">
        <x:v>热门</x:v>
      </x:c>
      <x:c r="L72" s="23" t="str">
        <x:v>年游客 100 万人次以上（估算）</x:v>
      </x:c>
      <x:c r="M72" s="23" t="str">
        <x:v>冲虚古观 → 狮子峰 → 飞云顶</x:v>
      </x:c>
      <x:c r="N72" s="23" t="str">
        <x:v>3–5 小时</x:v>
      </x:c>
      <x:c r="O72" s="17" t="str">
        <x:v>OSM</x:v>
      </x:c>
      <x:c r="P72" s="23" t="str">
        <x:v>公开数据不足，按平台活跃度与游客量推算（估算）</x:v>
      </x:c>
    </x:row>
    <x:row r="73" ht="48" customHeight="1">
      <x:c r="B73" s="17" t="n">
        <x:v>68</x:v>
      </x:c>
      <x:c r="C73" s="13" t="str">
        <x:v>石坑崆</x:v>
      </x:c>
      <x:c r="D73" s="13" t="str">
        <x:v>广东 · 韶关乳源 / 湖南宜章</x:v>
      </x:c>
      <x:c r="E73" s="17" t="str">
        <x:v>广东</x:v>
      </x:c>
      <x:c r="F73" s="17" t="str">
        <x:v>南岭</x:v>
      </x:c>
      <x:c r="G73" s="19" t="n">
        <x:v>1902</x:v>
      </x:c>
      <x:c r="H73" s="21" t="n">
        <x:v>24.92781</x:v>
      </x:c>
      <x:c r="I73" s="21" t="n">
        <x:v>112.99091</x:v>
      </x:c>
      <x:c r="J73" s="23" t="str">
        <x:v>广东第一峰，“一脚踏两省”，与莽山原始森林相连，是华南少有的 1900 米级登顶目标。</x:v>
      </x:c>
      <x:c r="K73" s="17" t="str">
        <x:v>热门</x:v>
      </x:c>
      <x:c r="L73" s="23" t="str">
        <x:v>年游客 50 万人次以上（估算）</x:v>
      </x:c>
      <x:c r="M73" s="23" t="str">
        <x:v>南岭国家森林公园 → 天泉 → 主峰</x:v>
      </x:c>
      <x:c r="N73" s="23" t="str">
        <x:v>4–6 小时</x:v>
      </x:c>
      <x:c r="O73" s="17" t="str">
        <x:v>OSM</x:v>
      </x:c>
      <x:c r="P73" s="23" t="str">
        <x:v>公开数据不足，按平台活跃度与游客量推算（估算）</x:v>
      </x:c>
    </x:row>
    <x:row r="74" ht="48" customHeight="1">
      <x:c r="B74" s="17" t="n">
        <x:v>69</x:v>
      </x:c>
      <x:c r="C74" s="13" t="str">
        <x:v>黄岗山</x:v>
      </x:c>
      <x:c r="D74" s="13" t="str">
        <x:v>福建 · 南平武夷山 / 江西铅山</x:v>
      </x:c>
      <x:c r="E74" s="17" t="str">
        <x:v>福建</x:v>
      </x:c>
      <x:c r="F74" s="17" t="str">
        <x:v>武夷山</x:v>
      </x:c>
      <x:c r="G74" s="19" t="n">
        <x:v>2160.8</x:v>
      </x:c>
      <x:c r="H74" s="21" t="n">
        <x:v>27.8583</x:v>
      </x:c>
      <x:c r="I74" s="21" t="n">
        <x:v>117.6767</x:v>
      </x:c>
      <x:c r="J74" s="23" t="str">
        <x:v>“华东屋脊”，武夷山脉主峰，山顶中山草甸与黄山松林相接，为闽赣两省界山。</x:v>
      </x:c>
      <x:c r="K74" s="17" t="str">
        <x:v>热门</x:v>
      </x:c>
      <x:c r="L74" s="23" t="str">
        <x:v>年登顶 10 万人次以上（估算，受保护区管控）</x:v>
      </x:c>
      <x:c r="M74" s="23" t="str">
        <x:v>桐木关 → 黄岗山顶</x:v>
      </x:c>
      <x:c r="N74" s="23" t="str">
        <x:v>2–3 小时（需通行管理）</x:v>
      </x:c>
      <x:c r="O74" s="17" t="str">
        <x:v>手工核对</x:v>
      </x:c>
      <x:c r="P74" s="23" t="str">
        <x:v>公开数据不足，按平台活跃度与游客量推算（估算）</x:v>
      </x:c>
    </x:row>
    <x:row r="75" ht="48" customHeight="1">
      <x:c r="B75" s="17" t="n">
        <x:v>70</x:v>
      </x:c>
      <x:c r="C75" s="13" t="str">
        <x:v>鼓山</x:v>
      </x:c>
      <x:c r="D75" s="13" t="str">
        <x:v>福建 · 福州晋安</x:v>
      </x:c>
      <x:c r="E75" s="17" t="str">
        <x:v>福建</x:v>
      </x:c>
      <x:c r="F75" s="17" t="str">
        <x:v>鼓山</x:v>
      </x:c>
      <x:c r="G75" s="19" t="n">
        <x:v>969</x:v>
      </x:c>
      <x:c r="H75" s="21" t="n">
        <x:v>26.035</x:v>
      </x:c>
      <x:c r="I75" s="21" t="n">
        <x:v>119.41</x:v>
      </x:c>
      <x:c r="J75" s="23" t="str">
        <x:v>福州城市后山，千年登山古道（涌泉寺石阶 2000 余级）与十余条山径并存，山顶可俯瞰闽江与福州城。</x:v>
      </x:c>
      <x:c r="K75" s="17" t="str">
        <x:v>极热</x:v>
      </x:c>
      <x:c r="L75" s="23" t="str">
        <x:v>年登山 300 万人次以上（估算）</x:v>
      </x:c>
      <x:c r="M75" s="23" t="str">
        <x:v>下院 → 涌泉寺 → 屴崱峰</x:v>
      </x:c>
      <x:c r="N75" s="23" t="str">
        <x:v>1–1.5 小时</x:v>
      </x:c>
      <x:c r="O75" s="17" t="str">
        <x:v>手工核对 屴崱峰</x:v>
      </x:c>
      <x:c r="P75" s="23" t="str">
        <x:v>公开数据不足，按平台活跃度与游客量推算（估算）</x:v>
      </x:c>
    </x:row>
    <x:row r="76" ht="48" customHeight="1">
      <x:c r="B76" s="17" t="n">
        <x:v>71</x:v>
      </x:c>
      <x:c r="C76" s="13" t="str">
        <x:v>太姥山</x:v>
      </x:c>
      <x:c r="D76" s="13" t="str">
        <x:v>福建 · 宁德福鼎</x:v>
      </x:c>
      <x:c r="E76" s="17" t="str">
        <x:v>福建</x:v>
      </x:c>
      <x:c r="F76" s="17" t="str">
        <x:v>太姥山</x:v>
      </x:c>
      <x:c r="G76" s="19" t="n">
        <x:v>917</x:v>
      </x:c>
      <x:c r="H76" s="21" t="n">
        <x:v>27.1244</x:v>
      </x:c>
      <x:c r="I76" s="21" t="n">
        <x:v>120.182</x:v>
      </x:c>
      <x:c r="J76" s="23" t="str">
        <x:v>花岗岩峰林与海蚀地貌结合，“海上仙都”，一线天、九鲤朝天等石景密集，登山道穿洞而过。</x:v>
      </x:c>
      <x:c r="K76" s="17" t="str">
        <x:v>热门</x:v>
      </x:c>
      <x:c r="L76" s="23" t="str">
        <x:v>年游客 100 万人次以上（估算）</x:v>
      </x:c>
      <x:c r="M76" s="23" t="str">
        <x:v>太姥山景区 → 覆鼎峰</x:v>
      </x:c>
      <x:c r="N76" s="23" t="str">
        <x:v>2–3 小时</x:v>
      </x:c>
      <x:c r="O76" s="17" t="str">
        <x:v>Wikidata</x:v>
      </x:c>
      <x:c r="P76" s="23" t="str">
        <x:v>公开数据不足，按平台活跃度与游客量推算（估算）</x:v>
      </x:c>
    </x:row>
    <x:row r="77" ht="48" customHeight="1">
      <x:c r="B77" s="17" t="n">
        <x:v>72</x:v>
      </x:c>
      <x:c r="C77" s="13" t="str">
        <x:v>衡山（祝融峰）</x:v>
      </x:c>
      <x:c r="D77" s="13" t="str">
        <x:v>湖南 · 衡阳南岳</x:v>
      </x:c>
      <x:c r="E77" s="17" t="str">
        <x:v>湖南</x:v>
      </x:c>
      <x:c r="F77" s="17" t="str">
        <x:v>衡山</x:v>
      </x:c>
      <x:c r="G77" s="19" t="n">
        <x:v>1300.2</x:v>
      </x:c>
      <x:c r="H77" s="21" t="n">
        <x:v>27.26707</x:v>
      </x:c>
      <x:c r="I77" s="21" t="n">
        <x:v>112.69724</x:v>
      </x:c>
      <x:c r="J77" s="23" t="str">
        <x:v>五岳之南岳，祝融峰为最高点；梵音古道与南天门石阶雨中云海著名，冬季雾凇是南方奇景。</x:v>
      </x:c>
      <x:c r="K77" s="17" t="str">
        <x:v>极热</x:v>
      </x:c>
      <x:c r="L77" s="23" t="str">
        <x:v>春节假期南岳衡山 5A 景区接待 174.98 万人次（湖南省文旅厅统计）</x:v>
      </x:c>
      <x:c r="M77" s="23" t="str">
        <x:v>南岳大庙 → 华严湖 → 南天门 → 祝融峰</x:v>
      </x:c>
      <x:c r="N77" s="23" t="str">
        <x:v>3–5 小时</x:v>
      </x:c>
      <x:c r="O77" s="17" t="str">
        <x:v>OSM</x:v>
      </x:c>
      <x:c r="P77" s="23" t="str">
        <x:v>湖南省文旅厅口径</x:v>
      </x:c>
    </x:row>
    <x:row r="78" ht="48" customHeight="1">
      <x:c r="B78" s="17" t="n">
        <x:v>73</x:v>
      </x:c>
      <x:c r="C78" s="13" t="str">
        <x:v>天门山</x:v>
      </x:c>
      <x:c r="D78" s="13" t="str">
        <x:v>湖南 · 张家界</x:v>
      </x:c>
      <x:c r="E78" s="17" t="str">
        <x:v>湖南</x:v>
      </x:c>
      <x:c r="F78" s="17" t="str">
        <x:v>天门山</x:v>
      </x:c>
      <x:c r="G78" s="19" t="n">
        <x:v>1518.6</x:v>
      </x:c>
      <x:c r="H78" s="21" t="n">
        <x:v>29.0528</x:v>
      </x:c>
      <x:c r="I78" s="21" t="n">
        <x:v>110.483</x:v>
      </x:c>
      <x:c r="J78" s="23" t="str">
        <x:v>张家界城区边上的孤峰台地，世界最长索道、999 级天梯与玻璃栈道是标志，山顶环线视野极佳。</x:v>
      </x:c>
      <x:c r="K78" s="17" t="str">
        <x:v>极热</x:v>
      </x:c>
      <x:c r="L78" s="23" t="str">
        <x:v>2023 年进山游客突破 500 万人（景区历史新高）</x:v>
      </x:c>
      <x:c r="M78" s="23" t="str">
        <x:v>索道下站 → 天门洞 999 级天梯 → 山顶环线</x:v>
      </x:c>
      <x:c r="N78" s="23" t="str">
        <x:v>1.5–3 小时</x:v>
      </x:c>
      <x:c r="O78" s="17" t="str">
        <x:v>Wikidata</x:v>
      </x:c>
      <x:c r="P78" s="23" t="str">
        <x:v>国家林草局、张家界天门山景区</x:v>
      </x:c>
    </x:row>
    <x:row r="79" ht="48" customHeight="1">
      <x:c r="B79" s="17" t="n">
        <x:v>74</x:v>
      </x:c>
      <x:c r="C79" s="13" t="str">
        <x:v>神农顶</x:v>
      </x:c>
      <x:c r="D79" s="13" t="str">
        <x:v>湖北 · 神农架林区</x:v>
      </x:c>
      <x:c r="E79" s="17" t="str">
        <x:v>湖北</x:v>
      </x:c>
      <x:c r="F79" s="17" t="str">
        <x:v>大巴山</x:v>
      </x:c>
      <x:c r="G79" s="19" t="n">
        <x:v>3106.2</x:v>
      </x:c>
      <x:c r="H79" s="21" t="n">
        <x:v>31.43998</x:v>
      </x:c>
      <x:c r="I79" s="21" t="n">
        <x:v>110.30721</x:v>
      </x:c>
      <x:c r="J79" s="23" t="str">
        <x:v>华中第一峰，神农架世界自然遗产核心，冷杉林与高山草甸相接，云海与日出出现率高。</x:v>
      </x:c>
      <x:c r="K79" s="17" t="str">
        <x:v>热门</x:v>
      </x:c>
      <x:c r="L79" s="23" t="str">
        <x:v>年游客 100 万人次以上（估算）</x:v>
      </x:c>
      <x:c r="M79" s="23" t="str">
        <x:v>神农谷 → 神农顶 2999 级青云梯</x:v>
      </x:c>
      <x:c r="N79" s="23" t="str">
        <x:v>2–4 小时</x:v>
      </x:c>
      <x:c r="O79" s="17" t="str">
        <x:v>OSM</x:v>
      </x:c>
      <x:c r="P79" s="23" t="str">
        <x:v>公开数据不足，按平台活跃度与游客量推算（估算）</x:v>
      </x:c>
    </x:row>
    <x:row r="80" ht="48" customHeight="1">
      <x:c r="B80" s="17" t="n">
        <x:v>75</x:v>
      </x:c>
      <x:c r="C80" s="13" t="str">
        <x:v>武当山（金顶）</x:v>
      </x:c>
      <x:c r="D80" s="13" t="str">
        <x:v>湖北 · 十堰丹江口</x:v>
      </x:c>
      <x:c r="E80" s="17" t="str">
        <x:v>湖北</x:v>
      </x:c>
      <x:c r="F80" s="17" t="str">
        <x:v>大巴山（武当山）</x:v>
      </x:c>
      <x:c r="G80" s="19" t="n">
        <x:v>1612</x:v>
      </x:c>
      <x:c r="H80" s="21" t="n">
        <x:v>32.40076</x:v>
      </x:c>
      <x:c r="I80" s="21" t="n">
        <x:v>111.00445</x:v>
      </x:c>
      <x:c r="J80" s="23" t="str">
        <x:v>真武大帝道场、世界文化遗产，金顶太和宫与紫霄宫一线相连，明清古道登顶石阶密集。</x:v>
      </x:c>
      <x:c r="K80" s="17" t="str">
        <x:v>极热</x:v>
      </x:c>
      <x:c r="L80" s="23" t="str">
        <x:v>年游客 300 万人次以上（估算）</x:v>
      </x:c>
      <x:c r="M80" s="23" t="str">
        <x:v>南岩 → 朝天宫 → 金顶</x:v>
      </x:c>
      <x:c r="N80" s="23" t="str">
        <x:v>3–5 小时（徒步）；索道约 1.5 小时</x:v>
      </x:c>
      <x:c r="O80" s="17" t="str">
        <x:v>OSM</x:v>
      </x:c>
      <x:c r="P80" s="23" t="str">
        <x:v>公开数据不足，按平台活跃度与游客量推算（估算）</x:v>
      </x:c>
    </x:row>
    <x:row r="81" ht="48" customHeight="1">
      <x:c r="B81" s="17" t="n">
        <x:v>76</x:v>
      </x:c>
      <x:c r="C81" s="13" t="str">
        <x:v>木兰山</x:v>
      </x:c>
      <x:c r="D81" s="13" t="str">
        <x:v>湖北 · 武汉黄陂</x:v>
      </x:c>
      <x:c r="E81" s="17" t="str">
        <x:v>湖北</x:v>
      </x:c>
      <x:c r="F81" s="17" t="str">
        <x:v>大别山南麓</x:v>
      </x:c>
      <x:c r="G81" s="19" t="n">
        <x:v>582</x:v>
      </x:c>
      <x:c r="H81" s="21" t="n">
        <x:v>31.09781</x:v>
      </x:c>
      <x:c r="I81" s="21" t="n">
        <x:v>114.39188</x:v>
      </x:c>
      <x:c r="J81" s="23" t="str">
        <x:v>武汉市郊的千年香火名山，古寨与石阶路密集，是武汉市民周末登山徒步的常规线路。</x:v>
      </x:c>
      <x:c r="K81" s="17" t="str">
        <x:v>热门</x:v>
      </x:c>
      <x:c r="L81" s="23" t="str">
        <x:v>年游客 100 万人次以上（估算）</x:v>
      </x:c>
      <x:c r="M81" s="23" t="str">
        <x:v>木兰山景区 → 金顶</x:v>
      </x:c>
      <x:c r="N81" s="23" t="str">
        <x:v>1–2 小时</x:v>
      </x:c>
      <x:c r="O81" s="17" t="str">
        <x:v>OSM</x:v>
      </x:c>
      <x:c r="P81" s="23" t="str">
        <x:v>公开数据不足，按平台活跃度与游客量推算（估算）</x:v>
      </x:c>
    </x:row>
    <x:row r="82" ht="48" customHeight="1">
      <x:c r="B82" s="17" t="n">
        <x:v>77</x:v>
      </x:c>
      <x:c r="C82" s="13" t="str">
        <x:v>九宫山</x:v>
      </x:c>
      <x:c r="D82" s="13" t="str">
        <x:v>湖北 · 咸宁通山</x:v>
      </x:c>
      <x:c r="E82" s="17" t="str">
        <x:v>湖北</x:v>
      </x:c>
      <x:c r="F82" s="17" t="str">
        <x:v>幕阜山</x:v>
      </x:c>
      <x:c r="G82" s="19" t="n">
        <x:v>1656</x:v>
      </x:c>
      <x:c r="H82" s="21" t="n">
        <x:v>29.375</x:v>
      </x:c>
      <x:c r="I82" s="21" t="n">
        <x:v>114.613</x:v>
      </x:c>
      <x:c r="J82" s="23" t="str">
        <x:v>华中避暑名山，南宋李自成殉难地，铜鼓包观日出与石龙峡溪谷徒步是经典组合。</x:v>
      </x:c>
      <x:c r="K82" s="17" t="str">
        <x:v>较热</x:v>
      </x:c>
      <x:c r="L82" s="23" t="str">
        <x:v>年游客 100 万人次以上（估算）</x:v>
      </x:c>
      <x:c r="M82" s="23" t="str">
        <x:v>铜鼓包 → 云中湖 → 主峰</x:v>
      </x:c>
      <x:c r="N82" s="23" t="str">
        <x:v>2–3 小时</x:v>
      </x:c>
      <x:c r="O82" s="17" t="str">
        <x:v>Wikidata</x:v>
      </x:c>
      <x:c r="P82" s="23" t="str">
        <x:v>公开数据不足，按平台活跃度与游客量推算（估算）</x:v>
      </x:c>
    </x:row>
    <x:row r="83" ht="48" customHeight="1">
      <x:c r="B83" s="17" t="n">
        <x:v>78</x:v>
      </x:c>
      <x:c r="C83" s="13" t="str">
        <x:v>武功山</x:v>
      </x:c>
      <x:c r="D83" s="13" t="str">
        <x:v>江西 · 萍乡 / 吉安</x:v>
      </x:c>
      <x:c r="E83" s="17" t="str">
        <x:v>江西</x:v>
      </x:c>
      <x:c r="F83" s="17" t="str">
        <x:v>武功山（罗霄山）</x:v>
      </x:c>
      <x:c r="G83" s="19" t="n">
        <x:v>1918.3</x:v>
      </x:c>
      <x:c r="H83" s="21" t="n">
        <x:v>27.45528</x:v>
      </x:c>
      <x:c r="I83" s="21" t="n">
        <x:v>114.17333</x:v>
      </x:c>
      <x:c r="J83" s="23" t="str">
        <x:v>“云中草原、户外天堂”，十万亩高山草甸绵延于 1600 米以上山脊，金顶（白鹤峰）为最高点，是国内最热门的露营徒步线路。</x:v>
      </x:c>
      <x:c r="K83" s="17" t="str">
        <x:v>极热</x:v>
      </x:c>
      <x:c r="L83" s="23" t="str">
        <x:v>2024 年接待游客 537.75 万人次，购票入园 205.2 万；2025 年报约 549 万人次</x:v>
      </x:c>
      <x:c r="M83" s="23" t="str">
        <x:v>龙山村/沈子村 → 金顶</x:v>
      </x:c>
      <x:c r="N83" s="23" t="str">
        <x:v>5–7 小时（徒步登顶）；索道 2–3 小时</x:v>
      </x:c>
      <x:c r="O83" s="17" t="str">
        <x:v>Wikidata</x:v>
      </x:c>
      <x:c r="P83" s="23" t="str">
        <x:v>萍乡武功山景区、中国税务报</x:v>
      </x:c>
    </x:row>
    <x:row r="84" ht="48" customHeight="1">
      <x:c r="B84" s="17" t="n">
        <x:v>79</x:v>
      </x:c>
      <x:c r="C84" s="13" t="str">
        <x:v>庐山</x:v>
      </x:c>
      <x:c r="D84" s="13" t="str">
        <x:v>江西 · 九江</x:v>
      </x:c>
      <x:c r="E84" s="17" t="str">
        <x:v>江西</x:v>
      </x:c>
      <x:c r="F84" s="17" t="str">
        <x:v>庐山</x:v>
      </x:c>
      <x:c r="G84" s="19" t="n">
        <x:v>1474</x:v>
      </x:c>
      <x:c r="H84" s="21" t="n">
        <x:v>29.5725</x:v>
      </x:c>
      <x:c r="I84" s="21" t="n">
        <x:v>115.97333</x:v>
      </x:c>
      <x:c r="J84" s="23" t="str">
        <x:v>“匡庐奇秀甲天下”，含鄱口看日出、五老峰看云海，三叠泉瀑布落差 155 米，汉阳峰为最高点。</x:v>
      </x:c>
      <x:c r="K84" s="17" t="str">
        <x:v>极热</x:v>
      </x:c>
      <x:c r="L84" s="23" t="str">
        <x:v>年游客 300 万人次以上（估算）</x:v>
      </x:c>
      <x:c r="M84" s="23" t="str">
        <x:v>含鄱口 → 五老峰 → 汉阳峰；或三叠泉登山道</x:v>
      </x:c>
      <x:c r="N84" s="23" t="str">
        <x:v>3–5 小时</x:v>
      </x:c>
      <x:c r="O84" s="17" t="str">
        <x:v>Wikidata</x:v>
      </x:c>
      <x:c r="P84" s="23" t="str">
        <x:v>公开数据不足，按平台活跃度与游客量推算（估算）</x:v>
      </x:c>
    </x:row>
    <x:row r="85" ht="48" customHeight="1">
      <x:c r="B85" s="17" t="n">
        <x:v>80</x:v>
      </x:c>
      <x:c r="C85" s="13" t="str">
        <x:v>三清山</x:v>
      </x:c>
      <x:c r="D85" s="13" t="str">
        <x:v>江西 · 上饶玉山</x:v>
      </x:c>
      <x:c r="E85" s="17" t="str">
        <x:v>江西</x:v>
      </x:c>
      <x:c r="F85" s="17" t="str">
        <x:v>三清山</x:v>
      </x:c>
      <x:c r="G85" s="19" t="n">
        <x:v>1819.9</x:v>
      </x:c>
      <x:c r="H85" s="21" t="n">
        <x:v>28.95194</x:v>
      </x:c>
      <x:c r="I85" s="21" t="n">
        <x:v>118.05194</x:v>
      </x:c>
      <x:c r="J85" s="23" t="str">
        <x:v>世界自然遗产，花岗岩峰林与高空栈道（阳光海岸、西海岸）闻名，玉京峰为最高点。</x:v>
      </x:c>
      <x:c r="K85" s="17" t="str">
        <x:v>极热</x:v>
      </x:c>
      <x:c r="L85" s="23" t="str">
        <x:v>年游客 200 万人次以上（估算）</x:v>
      </x:c>
      <x:c r="M85" s="23" t="str">
        <x:v>南清园 → 玉京峰（或索道 + 栈道环线）</x:v>
      </x:c>
      <x:c r="N85" s="23" t="str">
        <x:v>3–5 小时</x:v>
      </x:c>
      <x:c r="O85" s="17" t="str">
        <x:v>Wikidata</x:v>
      </x:c>
      <x:c r="P85" s="23" t="str">
        <x:v>公开数据不足，按平台活跃度与游客量推算（估算）</x:v>
      </x:c>
    </x:row>
    <x:row r="86" ht="48" customHeight="1">
      <x:c r="B86" s="17" t="n">
        <x:v>81</x:v>
      </x:c>
      <x:c r="C86" s="13" t="str">
        <x:v>明月山</x:v>
      </x:c>
      <x:c r="D86" s="13" t="str">
        <x:v>江西 · 宜春</x:v>
      </x:c>
      <x:c r="E86" s="17" t="str">
        <x:v>江西</x:v>
      </x:c>
      <x:c r="F86" s="17" t="str">
        <x:v>武功山（罗霄山）</x:v>
      </x:c>
      <x:c r="G86" s="19" t="n">
        <x:v>1736</x:v>
      </x:c>
      <x:c r="H86" s="21" t="n">
        <x:v>27.5826</x:v>
      </x:c>
      <x:c r="I86" s="21" t="n">
        <x:v>114.29234</x:v>
      </x:c>
      <x:c r="J86" s="23" t="str">
        <x:v>禅宗沩仰宗祖庭所在地，云谷飞瀑与星月洞相连，太平山顶可远眺武功山草甸。</x:v>
      </x:c>
      <x:c r="K86" s="17" t="str">
        <x:v>热门</x:v>
      </x:c>
      <x:c r="L86" s="23" t="str">
        <x:v>年游客 100 万人次以上（估算）</x:v>
      </x:c>
      <x:c r="M86" s="23" t="str">
        <x:v>明月山景区 → 太平山顶</x:v>
      </x:c>
      <x:c r="N86" s="23" t="str">
        <x:v>3–4 小时</x:v>
      </x:c>
      <x:c r="O86" s="17" t="str">
        <x:v>OSM</x:v>
      </x:c>
      <x:c r="P86" s="23" t="str">
        <x:v>公开数据不足，按平台活跃度与游客量推算（估算）</x:v>
      </x:c>
    </x:row>
    <x:row r="87" ht="48" customHeight="1">
      <x:c r="B87" s="17" t="n">
        <x:v>82</x:v>
      </x:c>
      <x:c r="C87" s="13" t="str">
        <x:v>井冈山</x:v>
      </x:c>
      <x:c r="D87" s="13" t="str">
        <x:v>江西 · 吉安井冈山</x:v>
      </x:c>
      <x:c r="E87" s="17" t="str">
        <x:v>江西</x:v>
      </x:c>
      <x:c r="F87" s="17" t="str">
        <x:v>罗霄山脉中段</x:v>
      </x:c>
      <x:c r="G87" s="19" t="n">
        <x:v>2120</x:v>
      </x:c>
      <x:c r="H87" s="21" t="n">
        <x:v>26.5694</x:v>
      </x:c>
      <x:c r="I87" s="21" t="n">
        <x:v>114.1822</x:v>
      </x:c>
      <x:c r="J87" s="23" t="str">
        <x:v>革命圣地，主峰五指峰与黄洋界哨口、笔架山杜鹃长廊，红色徒步与云海并重。</x:v>
      </x:c>
      <x:c r="K87" s="17" t="str">
        <x:v>热门</x:v>
      </x:c>
      <x:c r="L87" s="23" t="str">
        <x:v>年游客 200 万人次以上（估算）</x:v>
      </x:c>
      <x:c r="M87" s="23" t="str">
        <x:v>黄洋界 → 主峰；或五指峰登山道</x:v>
      </x:c>
      <x:c r="N87" s="23" t="str">
        <x:v>3–5 小时</x:v>
      </x:c>
      <x:c r="O87" s="17" t="str">
        <x:v>手工核对 五指峰</x:v>
      </x:c>
      <x:c r="P87" s="23" t="str">
        <x:v>公开数据不足，按平台活跃度与游客量推算（估算）</x:v>
      </x:c>
    </x:row>
    <x:row r="88" ht="48" customHeight="1">
      <x:c r="B88" s="17" t="n">
        <x:v>83</x:v>
      </x:c>
      <x:c r="C88" s="13" t="str">
        <x:v>黄山</x:v>
      </x:c>
      <x:c r="D88" s="13" t="str">
        <x:v>安徽 · 黄山市</x:v>
      </x:c>
      <x:c r="E88" s="17" t="str">
        <x:v>安徽</x:v>
      </x:c>
      <x:c r="F88" s="17" t="str">
        <x:v>黄山</x:v>
      </x:c>
      <x:c r="G88" s="19" t="n">
        <x:v>1864.8</x:v>
      </x:c>
      <x:c r="H88" s="21" t="n">
        <x:v>30.1295</x:v>
      </x:c>
      <x:c r="I88" s="21" t="n">
        <x:v>118.1694</x:v>
      </x:c>
      <x:c r="J88" s="23" t="str">
        <x:v>世界文化与自然双遗产，奇松、怪石、云海、温泉称“四绝”；莲花峰为最高点，光明顶、天都峰与西海大峡谷是经典序列。</x:v>
      </x:c>
      <x:c r="K88" s="17" t="str">
        <x:v>极热</x:v>
      </x:c>
      <x:c r="L88" s="23" t="str">
        <x:v>2023 年接待国内外游客 457.46 万人，门票收入 5.6 亿元</x:v>
      </x:c>
      <x:c r="M88" s="23" t="str">
        <x:v>云谷寺 → 白鹅岭 → 光明顶 → 莲花峰</x:v>
      </x:c>
      <x:c r="N88" s="23" t="str">
        <x:v>3–5 小时（云谷寺登山道 2–3 小时）</x:v>
      </x:c>
      <x:c r="O88" s="17" t="str">
        <x:v>OSM 莲花峰</x:v>
      </x:c>
      <x:c r="P88" s="23" t="str">
        <x:v>黄山风景区官方口径（媒体转引）</x:v>
      </x:c>
    </x:row>
    <x:row r="89" ht="48" customHeight="1">
      <x:c r="B89" s="17" t="n">
        <x:v>84</x:v>
      </x:c>
      <x:c r="C89" s="13" t="str">
        <x:v>九华山</x:v>
      </x:c>
      <x:c r="D89" s="13" t="str">
        <x:v>安徽 · 池州青阳</x:v>
      </x:c>
      <x:c r="E89" s="17" t="str">
        <x:v>安徽</x:v>
      </x:c>
      <x:c r="F89" s="17" t="str">
        <x:v>九华山</x:v>
      </x:c>
      <x:c r="G89" s="19" t="n">
        <x:v>1342</x:v>
      </x:c>
      <x:c r="H89" s="21" t="n">
        <x:v>30.46343</x:v>
      </x:c>
      <x:c r="I89" s="21" t="n">
        <x:v>117.81817</x:v>
      </x:c>
      <x:c r="J89" s="23" t="str">
        <x:v>地藏菩萨道场、佛教四大名山之一，十王峰为最高点，天台寺与肉身宝殿香火极盛。</x:v>
      </x:c>
      <x:c r="K89" s="17" t="str">
        <x:v>极热</x:v>
      </x:c>
      <x:c r="L89" s="23" t="str">
        <x:v>年游客 200 万人次以上（估算）</x:v>
      </x:c>
      <x:c r="M89" s="23" t="str">
        <x:v>九华街 → 天台正顶 → 十王峰</x:v>
      </x:c>
      <x:c r="N89" s="23" t="str">
        <x:v>3–5 小时</x:v>
      </x:c>
      <x:c r="O89" s="17" t="str">
        <x:v>OSM</x:v>
      </x:c>
      <x:c r="P89" s="23" t="str">
        <x:v>公开数据不足，按平台活跃度与游客量推算（估算）</x:v>
      </x:c>
    </x:row>
    <x:row r="90" ht="48" customHeight="1">
      <x:c r="B90" s="17" t="n">
        <x:v>85</x:v>
      </x:c>
      <x:c r="C90" s="13" t="str">
        <x:v>天柱山</x:v>
      </x:c>
      <x:c r="D90" s="13" t="str">
        <x:v>安徽 · 安庆潜山</x:v>
      </x:c>
      <x:c r="E90" s="17" t="str">
        <x:v>安徽</x:v>
      </x:c>
      <x:c r="F90" s="17" t="str">
        <x:v>天柱山</x:v>
      </x:c>
      <x:c r="G90" s="19" t="n">
        <x:v>1489.8</x:v>
      </x:c>
      <x:c r="H90" s="21" t="n">
        <x:v>30.7447</x:v>
      </x:c>
      <x:c r="I90" s="21" t="n">
        <x:v>116.4644</x:v>
      </x:c>
      <x:c r="J90" s="23" t="str">
        <x:v>汉武帝曾封的“南岳”，花岗岩峰丛与神秘谷、总关寨石阶路陡峭，天柱峰云雾中如柱擎天。</x:v>
      </x:c>
      <x:c r="K90" s="17" t="str">
        <x:v>热门</x:v>
      </x:c>
      <x:c r="L90" s="23" t="str">
        <x:v>年游客 200 万人次以上（估算）</x:v>
      </x:c>
      <x:c r="M90" s="23" t="str">
        <x:v>南大门 → 神秘谷 → 天柱峰</x:v>
      </x:c>
      <x:c r="N90" s="23" t="str">
        <x:v>3–4 小时</x:v>
      </x:c>
      <x:c r="O90" s="17" t="str">
        <x:v>手工核对</x:v>
      </x:c>
      <x:c r="P90" s="23" t="str">
        <x:v>公开数据不足，按平台活跃度与游客量推算（估算）</x:v>
      </x:c>
    </x:row>
    <x:row r="91" ht="48" customHeight="1">
      <x:c r="B91" s="17" t="n">
        <x:v>86</x:v>
      </x:c>
      <x:c r="C91" s="13" t="str">
        <x:v>天堂寨</x:v>
      </x:c>
      <x:c r="D91" s="13" t="str">
        <x:v>安徽 · 六安金寨</x:v>
      </x:c>
      <x:c r="E91" s="17" t="str">
        <x:v>安徽</x:v>
      </x:c>
      <x:c r="F91" s="17" t="str">
        <x:v>大别山</x:v>
      </x:c>
      <x:c r="G91" s="19" t="n">
        <x:v>1729.1</x:v>
      </x:c>
      <x:c r="H91" s="21" t="n">
        <x:v>31.105</x:v>
      </x:c>
      <x:c r="I91" s="21" t="n">
        <x:v>115.772</x:v>
      </x:c>
      <x:c r="J91" s="23" t="str">
        <x:v>大别山主峰之一，保存着华东最后的原始森林，九影瀑与白马峰大峡谷相连，是皖鄂界山。</x:v>
      </x:c>
      <x:c r="K91" s="17" t="str">
        <x:v>热门</x:v>
      </x:c>
      <x:c r="L91" s="23" t="str">
        <x:v>年游客 100 万人次以上（估算）</x:v>
      </x:c>
      <x:c r="M91" s="23" t="str">
        <x:v>天堂寨景区 → 主峰（或白马尖穿越）</x:v>
      </x:c>
      <x:c r="N91" s="23" t="str">
        <x:v>3–5 小时</x:v>
      </x:c>
      <x:c r="O91" s="17" t="str">
        <x:v>Wikidata</x:v>
      </x:c>
      <x:c r="P91" s="23" t="str">
        <x:v>公开数据不足，按平台活跃度与游客量推算（估算）</x:v>
      </x:c>
    </x:row>
    <x:row r="92" ht="48" customHeight="1">
      <x:c r="B92" s="17" t="n">
        <x:v>87</x:v>
      </x:c>
      <x:c r="C92" s="13" t="str">
        <x:v>清凉峰</x:v>
      </x:c>
      <x:c r="D92" s="13" t="str">
        <x:v>安徽 · 宣城绩溪 / 浙江临安</x:v>
      </x:c>
      <x:c r="E92" s="17" t="str">
        <x:v>安徽</x:v>
      </x:c>
      <x:c r="F92" s="17" t="str">
        <x:v>天目山</x:v>
      </x:c>
      <x:c r="G92" s="19" t="n">
        <x:v>1787.4</x:v>
      </x:c>
      <x:c r="H92" s="21" t="n">
        <x:v>30.1</x:v>
      </x:c>
      <x:c r="I92" s="21" t="n">
        <x:v>118.85833</x:v>
      </x:c>
      <x:c r="J92" s="23" t="str">
        <x:v>皖浙界山、天目山脉最高峰，与徽杭古道的蓝天凹相接，是华东最经典的两日穿越。</x:v>
      </x:c>
      <x:c r="K92" s="17" t="str">
        <x:v>热门</x:v>
      </x:c>
      <x:c r="L92" s="23" t="str">
        <x:v>年穿越者 5–10 万人次（估算）</x:v>
      </x:c>
      <x:c r="M92" s="23" t="str">
        <x:v>徽杭古道 蓝天凹 → 清凉峰</x:v>
      </x:c>
      <x:c r="N92" s="23" t="str">
        <x:v>7–9 小时（常见两日）</x:v>
      </x:c>
      <x:c r="O92" s="17" t="str">
        <x:v>Wikidata</x:v>
      </x:c>
      <x:c r="P92" s="23" t="str">
        <x:v>公开数据不足，按平台活跃度与游客量推算（估算）</x:v>
      </x:c>
    </x:row>
    <x:row r="93" ht="48" customHeight="1">
      <x:c r="B93" s="17" t="n">
        <x:v>88</x:v>
      </x:c>
      <x:c r="C93" s="13" t="str">
        <x:v>龙王山</x:v>
      </x:c>
      <x:c r="D93" s="13" t="str">
        <x:v>浙江 · 湖州安吉</x:v>
      </x:c>
      <x:c r="E93" s="17" t="str">
        <x:v>浙江</x:v>
      </x:c>
      <x:c r="F93" s="17" t="str">
        <x:v>天目山</x:v>
      </x:c>
      <x:c r="G93" s="19" t="n">
        <x:v>1587.4</x:v>
      </x:c>
      <x:c r="H93" s="21" t="n">
        <x:v>30.4472</x:v>
      </x:c>
      <x:c r="I93" s="21" t="n">
        <x:v>119.4183</x:v>
      </x:c>
      <x:c r="J93" s="23" t="str">
        <x:v>黄浦江源头所在地，千亩田高山湿地与云海日出连接浙皖多条穿越线。</x:v>
      </x:c>
      <x:c r="K93" s="17" t="str">
        <x:v>热门</x:v>
      </x:c>
      <x:c r="L93" s="23" t="str">
        <x:v>年徒步者 5–10 万人次（估算）</x:v>
      </x:c>
      <x:c r="M93" s="23" t="str">
        <x:v>章村镇长潭村 → 龙王山 → 千亩田</x:v>
      </x:c>
      <x:c r="N93" s="23" t="str">
        <x:v>4–6 小时</x:v>
      </x:c>
      <x:c r="O93" s="17" t="str">
        <x:v>手工核对</x:v>
      </x:c>
      <x:c r="P93" s="23" t="str">
        <x:v>公开数据不足，按平台活跃度与游客量推算（估算）</x:v>
      </x:c>
    </x:row>
    <x:row r="94" ht="48" customHeight="1">
      <x:c r="B94" s="17" t="n">
        <x:v>89</x:v>
      </x:c>
      <x:c r="C94" s="13" t="str">
        <x:v>雁荡山</x:v>
      </x:c>
      <x:c r="D94" s="13" t="str">
        <x:v>浙江 · 温州乐清</x:v>
      </x:c>
      <x:c r="E94" s="17" t="str">
        <x:v>浙江</x:v>
      </x:c>
      <x:c r="F94" s="17" t="str">
        <x:v>雁荡山</x:v>
      </x:c>
      <x:c r="G94" s="19" t="n">
        <x:v>1108</x:v>
      </x:c>
      <x:c r="H94" s="21" t="n">
        <x:v>28.3722</x:v>
      </x:c>
      <x:c r="I94" s="21" t="n">
        <x:v>121.0214</x:v>
      </x:c>
      <x:c r="J94" s="23" t="str">
        <x:v>世界地质公园，流纹岩火山地貌，灵峰夜景与灵岩飞渡著名，百岗尖为最高点。</x:v>
      </x:c>
      <x:c r="K94" s="17" t="str">
        <x:v>极热</x:v>
      </x:c>
      <x:c r="L94" s="23" t="str">
        <x:v>年游客 300 万人次以上（估算）</x:v>
      </x:c>
      <x:c r="M94" s="23" t="str">
        <x:v>灵岩 → 方洞 → 百岗尖（或景区环线）</x:v>
      </x:c>
      <x:c r="N94" s="23" t="str">
        <x:v>3–6 小时</x:v>
      </x:c>
      <x:c r="O94" s="17" t="str">
        <x:v>手工核对 百岗尖</x:v>
      </x:c>
      <x:c r="P94" s="23" t="str">
        <x:v>公开数据不足，按平台活跃度与游客量推算（估算）</x:v>
      </x:c>
    </x:row>
    <x:row r="95" ht="48" customHeight="1">
      <x:c r="B95" s="17" t="n">
        <x:v>90</x:v>
      </x:c>
      <x:c r="C95" s="13" t="str">
        <x:v>莫干山</x:v>
      </x:c>
      <x:c r="D95" s="13" t="str">
        <x:v>浙江 · 湖州德清</x:v>
      </x:c>
      <x:c r="E95" s="17" t="str">
        <x:v>浙江</x:v>
      </x:c>
      <x:c r="F95" s="17" t="str">
        <x:v>天目山</x:v>
      </x:c>
      <x:c r="G95" s="19" t="n">
        <x:v>719</x:v>
      </x:c>
      <x:c r="H95" s="21" t="n">
        <x:v>30.60817</x:v>
      </x:c>
      <x:c r="I95" s="21" t="n">
        <x:v>119.86228</x:v>
      </x:c>
      <x:c r="J95" s="23" t="str">
        <x:v>中国四大避暑胜地之一，民国别墅群与竹海步道相连，塔山为最高点，是上海周边周末首选。</x:v>
      </x:c>
      <x:c r="K95" s="17" t="str">
        <x:v>极热</x:v>
      </x:c>
      <x:c r="L95" s="23" t="str">
        <x:v>年游客 300 万人次以上（估算）</x:v>
      </x:c>
      <x:c r="M95" s="23" t="str">
        <x:v>荫山街 → 塔山；或剑池环线</x:v>
      </x:c>
      <x:c r="N95" s="23" t="str">
        <x:v>1.5–3 小时</x:v>
      </x:c>
      <x:c r="O95" s="17" t="str">
        <x:v>OSM 塔山</x:v>
      </x:c>
      <x:c r="P95" s="23" t="str">
        <x:v>公开数据不足，按平台活跃度与游客量推算（估算）</x:v>
      </x:c>
    </x:row>
    <x:row r="96" ht="48" customHeight="1">
      <x:c r="B96" s="17" t="n">
        <x:v>91</x:v>
      </x:c>
      <x:c r="C96" s="13" t="str">
        <x:v>大明山</x:v>
      </x:c>
      <x:c r="D96" s="13" t="str">
        <x:v>浙江 · 杭州临安</x:v>
      </x:c>
      <x:c r="E96" s="17" t="str">
        <x:v>浙江</x:v>
      </x:c>
      <x:c r="F96" s="17" t="str">
        <x:v>天目山</x:v>
      </x:c>
      <x:c r="G96" s="19" t="n">
        <x:v>1489</x:v>
      </x:c>
      <x:c r="H96" s="21" t="n">
        <x:v>30.0684</x:v>
      </x:c>
      <x:c r="I96" s="21" t="n">
        <x:v>118.99183</x:v>
      </x:c>
      <x:c r="J96" s="23" t="str">
        <x:v>花岗岩峡谷与千亩草甸，悬空栈道与层叠飞瀑，冬季雾凇与滑雪场并存。</x:v>
      </x:c>
      <x:c r="K96" s="17" t="str">
        <x:v>热门</x:v>
      </x:c>
      <x:c r="L96" s="23" t="str">
        <x:v>年游客 100 万人次以上（估算）</x:v>
      </x:c>
      <x:c r="M96" s="23" t="str">
        <x:v>大明山步道/索道 → 千亩田草甸</x:v>
      </x:c>
      <x:c r="N96" s="23" t="str">
        <x:v>3–4 小时</x:v>
      </x:c>
      <x:c r="O96" s="17" t="str">
        <x:v>OSM</x:v>
      </x:c>
      <x:c r="P96" s="23" t="str">
        <x:v>公开数据不足，按平台活跃度与游客量推算（估算）</x:v>
      </x:c>
    </x:row>
    <x:row r="97" ht="48" customHeight="1">
      <x:c r="B97" s="17" t="n">
        <x:v>92</x:v>
      </x:c>
      <x:c r="C97" s="13" t="str">
        <x:v>紫金山（钟山）</x:v>
      </x:c>
      <x:c r="D97" s="13" t="str">
        <x:v>江苏 · 南京</x:v>
      </x:c>
      <x:c r="E97" s="17" t="str">
        <x:v>江苏</x:v>
      </x:c>
      <x:c r="F97" s="17" t="str">
        <x:v>宁镇山脉</x:v>
      </x:c>
      <x:c r="G97" s="19" t="n">
        <x:v>448.9</x:v>
      </x:c>
      <x:c r="H97" s="21" t="n">
        <x:v>32.07251</x:v>
      </x:c>
      <x:c r="I97" s="21" t="n">
        <x:v>118.84057</x:v>
      </x:c>
      <x:c r="J97" s="23" t="str">
        <x:v>南京城市绿肺，头陀岭为最高点；中山陵、明孝陵、灵谷寺环山分布，天文台大坡是本地拉练经典。</x:v>
      </x:c>
      <x:c r="K97" s="17" t="str">
        <x:v>极热</x:v>
      </x:c>
      <x:c r="L97" s="23" t="str">
        <x:v>年登山/游览 500 万人次以上（估算）</x:v>
      </x:c>
      <x:c r="M97" s="23" t="str">
        <x:v>白马公园 → 头陀岭；或中山陵 → 天文台 → 山顶</x:v>
      </x:c>
      <x:c r="N97" s="23" t="str">
        <x:v>1–1.5 小时</x:v>
      </x:c>
      <x:c r="O97" s="17" t="str">
        <x:v>OSM</x:v>
      </x:c>
      <x:c r="P97" s="23" t="str">
        <x:v>公开数据不足，按平台活跃度与游客量推算（估算）</x:v>
      </x:c>
    </x:row>
    <x:row r="98" ht="48" customHeight="1">
      <x:c r="B98" s="17" t="n">
        <x:v>93</x:v>
      </x:c>
      <x:c r="C98" s="13" t="str">
        <x:v>花果山（玉女峰）</x:v>
      </x:c>
      <x:c r="D98" s="13" t="str">
        <x:v>江苏 · 连云港</x:v>
      </x:c>
      <x:c r="E98" s="17" t="str">
        <x:v>江苏</x:v>
      </x:c>
      <x:c r="F98" s="17" t="str">
        <x:v>云台山</x:v>
      </x:c>
      <x:c r="G98" s="19" t="n">
        <x:v>624.4</x:v>
      </x:c>
      <x:c r="H98" s="21" t="n">
        <x:v>34.65428</x:v>
      </x:c>
      <x:c r="I98" s="21" t="n">
        <x:v>119.28874</x:v>
      </x:c>
      <x:c r="J98" s="23" t="str">
        <x:v>《西游记》花果山原型地，江苏省最高峰玉女峰，水帘洞与三元宫古道相连。</x:v>
      </x:c>
      <x:c r="K98" s="17" t="str">
        <x:v>热门</x:v>
      </x:c>
      <x:c r="L98" s="23" t="str">
        <x:v>年游客 200 万人次以上（估算）</x:v>
      </x:c>
      <x:c r="M98" s="23" t="str">
        <x:v>水帘洞 → 玉女峰</x:v>
      </x:c>
      <x:c r="N98" s="23" t="str">
        <x:v>2–3 小时</x:v>
      </x:c>
      <x:c r="O98" s="17" t="str">
        <x:v>OSM 玉女峰</x:v>
      </x:c>
      <x:c r="P98" s="23" t="str">
        <x:v>公开数据不足，按平台活跃度与游客量推算（估算）</x:v>
      </x:c>
    </x:row>
    <x:row r="99" ht="48" customHeight="1">
      <x:c r="B99" s="17" t="n">
        <x:v>94</x:v>
      </x:c>
      <x:c r="C99" s="13" t="str">
        <x:v>佘山</x:v>
      </x:c>
      <x:c r="D99" s="13" t="str">
        <x:v>上海 · 松江</x:v>
      </x:c>
      <x:c r="E99" s="17" t="str">
        <x:v>上海</x:v>
      </x:c>
      <x:c r="F99" s="17" t="str">
        <x:v>佘山</x:v>
      </x:c>
      <x:c r="G99" s="19" t="n">
        <x:v>98</x:v>
      </x:c>
      <x:c r="H99" s="21" t="n">
        <x:v>31.093</x:v>
      </x:c>
      <x:c r="I99" s="21" t="n">
        <x:v>121.193</x:v>
      </x:c>
      <x:c r="J99" s="23" t="str">
        <x:v>上海市域唯一的自然山地，东西佘山上的天文台与圣母大殿是标志，也是沪上“爬山”最近的选择。</x:v>
      </x:c>
      <x:c r="K99" s="17" t="str">
        <x:v>极热</x:v>
      </x:c>
      <x:c r="L99" s="23" t="str">
        <x:v>年游客 200 万人次以上（估算）</x:v>
      </x:c>
      <x:c r="M99" s="23" t="str">
        <x:v>西佘山园 → 天文台 → 山顶</x:v>
      </x:c>
      <x:c r="N99" s="23" t="str">
        <x:v>20–30 分钟</x:v>
      </x:c>
      <x:c r="O99" s="17" t="str">
        <x:v>Wikidata</x:v>
      </x:c>
      <x:c r="P99" s="23" t="str">
        <x:v>公开数据不足，按平台活跃度与游客量推算（估算）</x:v>
      </x:c>
    </x:row>
    <x:row r="100" ht="48" customHeight="1">
      <x:c r="B100" s="17" t="n">
        <x:v>95</x:v>
      </x:c>
      <x:c r="C100" s="13" t="str">
        <x:v>长白山（白云峰）</x:v>
      </x:c>
      <x:c r="D100" s="13" t="str">
        <x:v>吉林 · 延边安图</x:v>
      </x:c>
      <x:c r="E100" s="17" t="str">
        <x:v>东北</x:v>
      </x:c>
      <x:c r="F100" s="17" t="str">
        <x:v>长白山</x:v>
      </x:c>
      <x:c r="G100" s="19" t="n">
        <x:v>2691</x:v>
      </x:c>
      <x:c r="H100" s="21" t="n">
        <x:v>42.0061</x:v>
      </x:c>
      <x:c r="I100" s="21" t="n">
        <x:v>128.0556</x:v>
      </x:c>
      <x:c r="J100" s="23" t="str">
        <x:v>东北第一高峰、中朝界山，天池火山口与长白瀑布、原始红松林相伴，北坡/西坡登顶为经典线路。</x:v>
      </x:c>
      <x:c r="K100" s="17" t="str">
        <x:v>极热</x:v>
      </x:c>
      <x:c r="L100" s="23" t="str">
        <x:v>2024 年主景区接待 340.9 万人次；2025 年提前两个月破 340 万</x:v>
      </x:c>
      <x:c r="M100" s="23" t="str">
        <x:v>北景区换乘 → 天池平台（白云峰禁攀）</x:v>
      </x:c>
      <x:c r="N100" s="23" t="str">
        <x:v>3–4 小时（含换乘与台阶）</x:v>
      </x:c>
      <x:c r="O100" s="17" t="str">
        <x:v>手工核对</x:v>
      </x:c>
      <x:c r="P100" s="23" t="str">
        <x:v>长白山管委会旅游文体局</x:v>
      </x:c>
    </x:row>
    <x:row r="101" ht="48" customHeight="1">
      <x:c r="B101" s="17" t="n">
        <x:v>96</x:v>
      </x:c>
      <x:c r="C101" s="13" t="str">
        <x:v>千山</x:v>
      </x:c>
      <x:c r="D101" s="13" t="str">
        <x:v>辽宁 · 鞍山</x:v>
      </x:c>
      <x:c r="E101" s="17" t="str">
        <x:v>东北</x:v>
      </x:c>
      <x:c r="F101" s="17" t="str">
        <x:v>千山</x:v>
      </x:c>
      <x:c r="G101" s="19" t="n">
        <x:v>708.5</x:v>
      </x:c>
      <x:c r="H101" s="21" t="n">
        <x:v>41.02973</x:v>
      </x:c>
      <x:c r="I101" s="21" t="n">
        <x:v>123.10249</x:v>
      </x:c>
      <x:c r="J101" s="23" t="str">
        <x:v>“辽东第一山”，佛道共存的花岗岩峰林，仙人台为最高点，五佛顶与无量观石阶路密集。</x:v>
      </x:c>
      <x:c r="K101" s="17" t="str">
        <x:v>热门</x:v>
      </x:c>
      <x:c r="L101" s="23" t="str">
        <x:v>年游客 200 万人次以上（估算）</x:v>
      </x:c>
      <x:c r="M101" s="23" t="str">
        <x:v>无量观 → 五佛顶；或中会寺 → 仙人台</x:v>
      </x:c>
      <x:c r="N101" s="23" t="str">
        <x:v>2–4 小时</x:v>
      </x:c>
      <x:c r="O101" s="17" t="str">
        <x:v>OSM</x:v>
      </x:c>
      <x:c r="P101" s="23" t="str">
        <x:v>公开数据不足，按平台活跃度与游客量推算（估算）</x:v>
      </x:c>
    </x:row>
    <x:row r="102" ht="48" customHeight="1">
      <x:c r="B102" s="17" t="n">
        <x:v>97</x:v>
      </x:c>
      <x:c r="C102" s="13" t="str">
        <x:v>大帽山</x:v>
      </x:c>
      <x:c r="D102" s="13" t="str">
        <x:v>香港 · 荃湾 / 元朗</x:v>
      </x:c>
      <x:c r="E102" s="17" t="str">
        <x:v>港澳台</x:v>
      </x:c>
      <x:c r="F102" s="17" t="str">
        <x:v>大帽山</x:v>
      </x:c>
      <x:c r="G102" s="19" t="n">
        <x:v>957</x:v>
      </x:c>
      <x:c r="H102" s="21" t="n">
        <x:v>22.4118</x:v>
      </x:c>
      <x:c r="I102" s="21" t="n">
        <x:v>114.123</x:v>
      </x:c>
      <x:c r="J102" s="23" t="str">
        <x:v>香港最高峰，麦理浩径第八段与梧桐寨瀑布相连，山顶雷达站与云海日落是港人周末常规登山路线。</x:v>
      </x:c>
      <x:c r="K102" s="17" t="str">
        <x:v>极热</x:v>
      </x:c>
      <x:c r="L102" s="23" t="str">
        <x:v>年登山者 50 万人次以上（估算）</x:v>
      </x:c>
      <x:c r="M102" s="23" t="str">
        <x:v>荃锦公路 → 大帽山道 → 山顶</x:v>
      </x:c>
      <x:c r="N102" s="23" t="str">
        <x:v>2–3 小时</x:v>
      </x:c>
      <x:c r="O102" s="17" t="str">
        <x:v>Wikidata</x:v>
      </x:c>
      <x:c r="P102" s="23" t="str">
        <x:v>公开数据不足，按平台活跃度与游客量推算（估算）</x:v>
      </x:c>
    </x:row>
    <x:row r="103" ht="48" customHeight="1">
      <x:c r="B103" s="17" t="n">
        <x:v>98</x:v>
      </x:c>
      <x:c r="C103" s="13" t="str">
        <x:v>凤凰山</x:v>
      </x:c>
      <x:c r="D103" s="13" t="str">
        <x:v>香港 · 大屿山</x:v>
      </x:c>
      <x:c r="E103" s="17" t="str">
        <x:v>港澳台</x:v>
      </x:c>
      <x:c r="F103" s="17" t="str">
        <x:v>凤凰山</x:v>
      </x:c>
      <x:c r="G103" s="19" t="n">
        <x:v>934</x:v>
      </x:c>
      <x:c r="H103" s="21" t="n">
        <x:v>22.2536</x:v>
      </x:c>
      <x:c r="I103" s="21" t="n">
        <x:v>113.9178</x:v>
      </x:c>
      <x:c r="J103" s="23" t="str">
        <x:v>香港第二高峰，凤凰径第三段石阶连续陡升，日出与云海著名，昂坪市集为起点。</x:v>
      </x:c>
      <x:c r="K103" s="17" t="str">
        <x:v>极热</x:v>
      </x:c>
      <x:c r="L103" s="23" t="str">
        <x:v>年登山者 30 万人次以上（估算）</x:v>
      </x:c>
      <x:c r="M103" s="23" t="str">
        <x:v>昂坪 → 心经简林 → 凤凰山顶</x:v>
      </x:c>
      <x:c r="N103" s="23" t="str">
        <x:v>2–3 小时</x:v>
      </x:c>
      <x:c r="O103" s="17" t="str">
        <x:v>手工核对</x:v>
      </x:c>
      <x:c r="P103" s="23" t="str">
        <x:v>公开数据不足，按平台活跃度与游客量推算（估算）</x:v>
      </x:c>
    </x:row>
    <x:row r="104" ht="48" customHeight="1">
      <x:c r="B104" s="17" t="n">
        <x:v>99</x:v>
      </x:c>
      <x:c r="C104" s="13" t="str">
        <x:v>玉山</x:v>
      </x:c>
      <x:c r="D104" s="13" t="str">
        <x:v>台湾 · 南投 / 嘉义</x:v>
      </x:c>
      <x:c r="E104" s="17" t="str">
        <x:v>港澳台</x:v>
      </x:c>
      <x:c r="F104" s="17" t="str">
        <x:v>玉山</x:v>
      </x:c>
      <x:c r="G104" s="19" t="n">
        <x:v>3952</x:v>
      </x:c>
      <x:c r="H104" s="21" t="n">
        <x:v>23.47</x:v>
      </x:c>
      <x:c r="I104" s="21" t="n">
        <x:v>120.95727</x:v>
      </x:c>
      <x:c r="J104" s="23" t="str">
        <x:v>台湾第一高峰、东亚最高峰，排云山庄与主峰步道需抽签申请，是台湾最热门的百岳。</x:v>
      </x:c>
      <x:c r="K104" s="17" t="str">
        <x:v>极热</x:v>
      </x:c>
      <x:c r="L104" s="23" t="str">
        <x:v>年登顶 3–5 万人次（估算；排云山庄床位需抽签）</x:v>
      </x:c>
      <x:c r="M104" s="23" t="str">
        <x:v>塔塔加登山口 → 排云山庄 → 玉山主峰</x:v>
      </x:c>
      <x:c r="N104" s="23" t="str">
        <x:v>2 日（第二日冲顶 2–3 小时）</x:v>
      </x:c>
      <x:c r="O104" s="17" t="str">
        <x:v>Wikidata</x:v>
      </x:c>
      <x:c r="P104" s="23" t="str">
        <x:v>公开数据不足，按平台活跃度与游客量推算（估算）</x:v>
      </x:c>
    </x:row>
    <x:row r="105" ht="48" customHeight="1">
      <x:c r="B105" s="17" t="n">
        <x:v>100</x:v>
      </x:c>
      <x:c r="C105" s="13" t="str">
        <x:v>雪山</x:v>
      </x:c>
      <x:c r="D105" s="13" t="str">
        <x:v>台湾 · 苗栗 / 台中</x:v>
      </x:c>
      <x:c r="E105" s="17" t="str">
        <x:v>港澳台</x:v>
      </x:c>
      <x:c r="F105" s="17" t="str">
        <x:v>雪山</x:v>
      </x:c>
      <x:c r="G105" s="19" t="n">
        <x:v>3886</x:v>
      </x:c>
      <x:c r="H105" s="21" t="n">
        <x:v>24.3836</x:v>
      </x:c>
      <x:c r="I105" s="21" t="n">
        <x:v>121.2322</x:v>
      </x:c>
      <x:c r="J105" s="23" t="str">
        <x:v>台湾第二高峰，369 山庄与圈谷冰川遗迹是经典，春季杜鹃与夏季高山花海。</x:v>
      </x:c>
      <x:c r="K105" s="17" t="str">
        <x:v>热门</x:v>
      </x:c>
      <x:c r="L105" s="23" t="str">
        <x:v>年登顶 2–3 万人次（估算）</x:v>
      </x:c>
      <x:c r="M105" s="23" t="str">
        <x:v>武陵农场登山口 → 七卡 → 369 山庄 → 主峰</x:v>
      </x:c>
      <x:c r="N105" s="23" t="str">
        <x:v>2–3 日</x:v>
      </x:c>
      <x:c r="O105" s="17" t="str">
        <x:v>手工核对</x:v>
      </x:c>
      <x:c r="P105" s="23" t="str">
        <x:v>公开数据不足，按平台活跃度与游客量推算（估算）</x:v>
      </x:c>
    </x:row>
  </x:sheetData>
  <x:conditionalFormatting sqref="K6:K105">
    <x:cfRule type="cellIs" dxfId="0" priority="1" operator="equal">
      <x:formula>极热</x:formula>
    </x:cfRule>
    <x:cfRule type="cellIs" dxfId="1" priority="2" operator="equal">
      <x:formula>热门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a9fb23fffa74616"/>
  </x:tableParts>
</x:worksheet>
</file>

<file path=xl/worksheets/sheet2.xml><?xml version="1.0" encoding="utf-8"?>
<x:worksheet xmlns:x="http://schemas.openxmlformats.org/spreadsheetml/2006/main">
  <x:sheetPr>
    <x:tabColor rgb="FFE8F1E9"/>
  </x:sheetPr>
  <x:sheetViews>
    <x:sheetView showGridLines="0" workbookViewId="0"/>
  </x:sheetViews>
  <x:sheetFormatPr defaultRowHeight="15"/>
  <x:cols>
    <x:col min="2" max="2" width="20" hidden="0" customWidth="1"/>
    <x:col min="3" max="3" width="16" hidden="0" customWidth="1"/>
    <x:col min="4" max="4" width="14" hidden="0" customWidth="1"/>
    <x:col min="5" max="5" width="14" hidden="0" customWidth="1"/>
    <x:col min="6" max="6" width="3" hidden="0" customWidth="1"/>
    <x:col min="7" max="7" width="18" hidden="0" customWidth="1"/>
    <x:col min="8" max="8" width="78" hidden="0" customWidth="1"/>
  </x:cols>
  <x:sheetData>
    <x:row r="2">
      <x:c r="B2" s="14" t="str">
        <x:v>数据说明</x:v>
      </x:c>
    </x:row>
    <x:row r="3">
      <x:c r="B3" s="15" t="str">
        <x:v>100 座山峰的口径、来源与复核方式；未采用公开数据的条目已逐条标注为估算。</x:v>
      </x:c>
    </x:row>
    <x:row r="4">
      <x:c r="B4" s="16"/>
      <x:c r="C4" s="16"/>
      <x:c r="D4" s="16"/>
      <x:c r="E4" s="16"/>
      <x:c r="F4" s="16"/>
      <x:c r="G4" s="16"/>
      <x:c r="H4" s="16"/>
      <x:c r="I4" s="16"/>
      <x:c r="J4" s="16"/>
      <x:c r="K4" s="16"/>
      <x:c r="L4" s="16"/>
      <x:c r="M4" s="16"/>
      <x:c r="N4" s="16"/>
    </x:row>
    <x:row r="6">
      <x:c r="B6" s="24" t="str">
        <x:v>区域分布（由清单实时统计）</x:v>
      </x:c>
      <x:c r="G6" s="24" t="str">
        <x:v>字段口径</x:v>
      </x:c>
    </x:row>
    <x:row r="7">
      <x:c r="B7" s="25" t="str">
        <x:v>区域分组</x:v>
      </x:c>
      <x:c r="C7" s="25" t="str">
        <x:v>山峰数</x:v>
      </x:c>
      <x:c r="D7" s="25" t="str">
        <x:v>其中「极热」</x:v>
      </x:c>
      <x:c r="E7" s="25" t="str">
        <x:v>其中「热门」</x:v>
      </x:c>
      <x:c r="G7" s="25" t="str">
        <x:v>口径项</x:v>
      </x:c>
      <x:c r="H7" s="25" t="str">
        <x:v>说明</x:v>
      </x:c>
    </x:row>
    <x:row r="8" ht="34" customHeight="1">
      <x:c r="B8" s="12" t="str">
        <x:v>北京周边</x:v>
      </x:c>
      <x:c r="C8" s="27" t="n">
        <x:f>COUNTIF('山峰清单'!$E$6:$E$105,$B8)</x:f>
        <x:v>5</x:v>
      </x:c>
      <x:c r="D8" s="27" t="n">
        <x:f>COUNTIFS('山峰清单'!$E$6:$E$105,$B8,'山峰清单'!$K$6:$K$105,"极热")</x:f>
        <x:v>3</x:v>
      </x:c>
      <x:c r="E8" s="27" t="n">
        <x:f>COUNTIFS('山峰清单'!$E$6:$E$105,$B8,'山峰清单'!$K$6:$K$105,"热门")</x:f>
        <x:v>1</x:v>
      </x:c>
      <x:c r="G8" s="31" t="str">
        <x:v>海拔（米）</x:v>
      </x:c>
      <x:c r="H8" s="23" t="str">
        <x:v>山峰顶点常用公开海拔（景区、测绘或登山资料口径）。</x:v>
      </x:c>
    </x:row>
    <x:row r="9" ht="34" customHeight="1">
      <x:c r="B9" s="12" t="str">
        <x:v>京津周边</x:v>
      </x:c>
      <x:c r="C9" s="27" t="n">
        <x:f>COUNTIF('山峰清单'!$E$6:$E$105,$B9)</x:f>
        <x:v>3</x:v>
      </x:c>
      <x:c r="D9" s="27" t="n">
        <x:f>COUNTIFS('山峰清单'!$E$6:$E$105,$B9,'山峰清单'!$K$6:$K$105,"极热")</x:f>
        <x:v>0</x:v>
      </x:c>
      <x:c r="E9" s="27" t="n">
        <x:f>COUNTIFS('山峰清单'!$E$6:$E$105,$B9,'山峰清单'!$K$6:$K$105,"热门")</x:f>
        <x:v>3</x:v>
      </x:c>
      <x:c r="G9" s="31" t="str">
        <x:v>纬度 / 经度</x:v>
      </x:c>
      <x:c r="H9" s="23" t="str">
        <x:v>WGS84，山顶或主峰位置。标「近似」的条目为山峰群内的定位，误差约 1–3 公里。</x:v>
      </x:c>
    </x:row>
    <x:row r="10" ht="34" customHeight="1">
      <x:c r="B10" s="12" t="str">
        <x:v>山东</x:v>
      </x:c>
      <x:c r="C10" s="27" t="n">
        <x:f>COUNTIF('山峰清单'!$E$6:$E$105,$B10)</x:f>
        <x:v>4</x:v>
      </x:c>
      <x:c r="D10" s="27" t="n">
        <x:f>COUNTIFS('山峰清单'!$E$6:$E$105,$B10,'山峰清单'!$K$6:$K$105,"极热")</x:f>
        <x:v>3</x:v>
      </x:c>
      <x:c r="E10" s="27" t="n">
        <x:f>COUNTIFS('山峰清单'!$E$6:$E$105,$B10,'山峰清单'!$K$6:$K$105,"热门")</x:f>
        <x:v>1</x:v>
      </x:c>
      <x:c r="G10" s="31" t="str">
        <x:v>热度等级</x:v>
      </x:c>
      <x:c r="H10" s="23" t="str">
        <x:v>极热：全国级热门，年接待数百万人次；热门：区域头部、周末客流稳定；较热：客流稳定但规模较小；小众：以专业队伍为主。</x:v>
      </x:c>
    </x:row>
    <x:row r="11" ht="34" customHeight="1">
      <x:c r="B11" s="12" t="str">
        <x:v>山西</x:v>
      </x:c>
      <x:c r="C11" s="27" t="n">
        <x:f>COUNTIF('山峰清单'!$E$6:$E$105,$B11)</x:f>
        <x:v>3</x:v>
      </x:c>
      <x:c r="D11" s="27" t="n">
        <x:f>COUNTIFS('山峰清单'!$E$6:$E$105,$B11,'山峰清单'!$K$6:$K$105,"极热")</x:f>
        <x:v>0</x:v>
      </x:c>
      <x:c r="E11" s="27" t="n">
        <x:f>COUNTIFS('山峰清单'!$E$6:$E$105,$B11,'山峰清单'!$K$6:$K$105,"热门")</x:f>
        <x:v>2</x:v>
      </x:c>
      <x:c r="G11" s="31" t="str">
        <x:v>年登顶或到访人次</x:v>
      </x:c>
      <x:c r="H11" s="23" t="str">
        <x:v>优先采用景区或主管部门公布的年度接待、进山人次；无公开数据时按平台活跃度与景区客流推算并标「估算」。景区的「接待游客」含索道与观光客，不等于徒步登顶人数。</x:v>
      </x:c>
    </x:row>
    <x:row r="12" ht="34" customHeight="1">
      <x:c r="B12" s="12" t="str">
        <x:v>河南</x:v>
      </x:c>
      <x:c r="C12" s="27" t="n">
        <x:f>COUNTIF('山峰清单'!$E$6:$E$105,$B12)</x:f>
        <x:v>3</x:v>
      </x:c>
      <x:c r="D12" s="27" t="n">
        <x:f>COUNTIFS('山峰清单'!$E$6:$E$105,$B12,'山峰清单'!$K$6:$K$105,"极热")</x:f>
        <x:v>3</x:v>
      </x:c>
      <x:c r="E12" s="27" t="n">
        <x:f>COUNTIFS('山峰清单'!$E$6:$E$105,$B12,'山峰清单'!$K$6:$K$105,"热门")</x:f>
        <x:v>0</x:v>
      </x:c>
      <x:c r="G12" s="31" t="str">
        <x:v>平均登顶时间</x:v>
      </x:c>
      <x:c r="H12" s="23" t="str">
        <x:v>常规路线的单程登顶用时；高海拔山峰给完整攀登周期（含适应），按普通体能徒步者或商业队伍行程估算。</x:v>
      </x:c>
    </x:row>
    <x:row r="13" ht="34" customHeight="1">
      <x:c r="B13" s="12" t="str">
        <x:v>陕西</x:v>
      </x:c>
      <x:c r="C13" s="27" t="n">
        <x:f>COUNTIF('山峰清单'!$E$6:$E$105,$B13)</x:f>
        <x:v>5</x:v>
      </x:c>
      <x:c r="D13" s="27" t="n">
        <x:f>COUNTIFS('山峰清单'!$E$6:$E$105,$B13,'山峰清单'!$K$6:$K$105,"极热")</x:f>
        <x:v>2</x:v>
      </x:c>
      <x:c r="E13" s="27" t="n">
        <x:f>COUNTIFS('山峰清单'!$E$6:$E$105,$B13,'山峰清单'!$K$6:$K$105,"热门")</x:f>
        <x:v>3</x:v>
      </x:c>
      <x:c r="G13" s="31" t="str">
        <x:v>坐标来源</x:v>
      </x:c>
      <x:c r="H13" s="23" t="str">
        <x:v>Wikidata：维基数据 P625；OSM：OpenStreetMap 同名山峰节点；手工核对：与公开地形资料交叉比对后取用。</x:v>
      </x:c>
    </x:row>
    <x:row r="14">
      <x:c r="B14" s="12" t="str">
        <x:v>青海</x:v>
      </x:c>
      <x:c r="C14" s="27" t="n">
        <x:f>COUNTIF('山峰清单'!$E$6:$E$105,$B14)</x:f>
        <x:v>3</x:v>
      </x:c>
      <x:c r="D14" s="27" t="n">
        <x:f>COUNTIFS('山峰清单'!$E$6:$E$105,$B14,'山峰清单'!$K$6:$K$105,"极热")</x:f>
        <x:v>0</x:v>
      </x:c>
      <x:c r="E14" s="27" t="n">
        <x:f>COUNTIFS('山峰清单'!$E$6:$E$105,$B14,'山峰清单'!$K$6:$K$105,"热门")</x:f>
        <x:v>2</x:v>
      </x:c>
    </x:row>
    <x:row r="15">
      <x:c r="B15" s="12" t="str">
        <x:v>宁夏</x:v>
      </x:c>
      <x:c r="C15" s="27" t="n">
        <x:f>COUNTIF('山峰清单'!$E$6:$E$105,$B15)</x:f>
        <x:v>1</x:v>
      </x:c>
      <x:c r="D15" s="27" t="n">
        <x:f>COUNTIFS('山峰清单'!$E$6:$E$105,$B15,'山峰清单'!$K$6:$K$105,"极热")</x:f>
        <x:v>0</x:v>
      </x:c>
      <x:c r="E15" s="27" t="n">
        <x:f>COUNTIFS('山峰清单'!$E$6:$E$105,$B15,'山峰清单'!$K$6:$K$105,"热门")</x:f>
        <x:v>1</x:v>
      </x:c>
      <x:c r="G15" s="24" t="str">
        <x:v>主要数据来源</x:v>
      </x:c>
    </x:row>
    <x:row r="16">
      <x:c r="B16" s="12" t="str">
        <x:v>甘肃</x:v>
      </x:c>
      <x:c r="C16" s="27" t="n">
        <x:f>COUNTIF('山峰清单'!$E$6:$E$105,$B16)</x:f>
        <x:v>1</x:v>
      </x:c>
      <x:c r="D16" s="27" t="n">
        <x:f>COUNTIFS('山峰清单'!$E$6:$E$105,$B16,'山峰清单'!$K$6:$K$105,"极热")</x:f>
        <x:v>0</x:v>
      </x:c>
      <x:c r="E16" s="27" t="n">
        <x:f>COUNTIFS('山峰清单'!$E$6:$E$105,$B16,'山峰清单'!$K$6:$K$105,"热门")</x:f>
        <x:v>1</x:v>
      </x:c>
      <x:c r="G16" s="25" t="str">
        <x:v>数据项</x:v>
      </x:c>
      <x:c r="H16" s="25" t="str">
        <x:v>来源</x:v>
      </x:c>
    </x:row>
    <x:row r="17" ht="78" customHeight="1">
      <x:c r="B17" s="12" t="str">
        <x:v>新疆</x:v>
      </x:c>
      <x:c r="C17" s="27" t="n">
        <x:f>COUNTIF('山峰清单'!$E$6:$E$105,$B17)</x:f>
        <x:v>4</x:v>
      </x:c>
      <x:c r="D17" s="27" t="n">
        <x:f>COUNTIFS('山峰清单'!$E$6:$E$105,$B17,'山峰清单'!$K$6:$K$105,"极热")</x:f>
        <x:v>0</x:v>
      </x:c>
      <x:c r="E17" s="27" t="n">
        <x:f>COUNTIFS('山峰清单'!$E$6:$E$105,$B17,'山峰清单'!$K$6:$K$105,"热门")</x:f>
        <x:v>1</x:v>
      </x:c>
      <x:c r="G17" s="31" t="str">
        <x:v>年登顶或到访人次</x:v>
      </x:c>
      <x:c r="H17" s="23" t="str">
        <x:v>泰安市 2024 年国民经济和社会发展统计公报、泰安市文旅局、华阴市政府、黄山风景区、张家界天门山、峨眉山旅游股份、长白山管委会、四姑娘山景区管理局、江口县政府（梵净山）、萍乡武功山景区、河南省文旅厅、湖南省文旅厅、人民网（玉珠峰）、哈巴雪山容量公告等公开通报与报道。</x:v>
      </x:c>
    </x:row>
    <x:row r="18" ht="78" customHeight="1">
      <x:c r="B18" s="12" t="str">
        <x:v>西藏</x:v>
      </x:c>
      <x:c r="C18" s="27" t="n">
        <x:f>COUNTIF('山峰清单'!$E$6:$E$105,$B18)</x:f>
        <x:v>4</x:v>
      </x:c>
      <x:c r="D18" s="27" t="n">
        <x:f>COUNTIFS('山峰清单'!$E$6:$E$105,$B18,'山峰清单'!$K$6:$K$105,"极热")</x:f>
        <x:v>0</x:v>
      </x:c>
      <x:c r="E18" s="27" t="n">
        <x:f>COUNTIFS('山峰清单'!$E$6:$E$105,$B18,'山峰清单'!$K$6:$K$105,"热门")</x:f>
        <x:v>3</x:v>
      </x:c>
      <x:c r="G18" s="31" t="str">
        <x:v>坐标与海拔</x:v>
      </x:c>
      <x:c r="H18" s="23" t="str">
        <x:v>Wikidata（P625 坐标、P2044 海拔）、OpenStreetMap（Overpass 与 Photon 检索）、百度百科词条海拔字段，并与公开地形资料交叉复核。</x:v>
      </x:c>
    </x:row>
    <x:row r="19" ht="78" customHeight="1">
      <x:c r="B19" s="12" t="str">
        <x:v>四川</x:v>
      </x:c>
      <x:c r="C19" s="27" t="n">
        <x:f>COUNTIF('山峰清单'!$E$6:$E$105,$B19)</x:f>
        <x:v>13</x:v>
      </x:c>
      <x:c r="D19" s="27" t="n">
        <x:f>COUNTIFS('山峰清单'!$E$6:$E$105,$B19,'山峰清单'!$K$6:$K$105,"极热")</x:f>
        <x:v>6</x:v>
      </x:c>
      <x:c r="E19" s="27" t="n">
        <x:f>COUNTIFS('山峰清单'!$E$6:$E$105,$B19,'山峰清单'!$K$6:$K$105,"热门")</x:f>
        <x:v>5</x:v>
      </x:c>
      <x:c r="G19" s="31" t="str">
        <x:v>路线与用时</x:v>
      </x:c>
      <x:c r="H19" s="23" t="str">
        <x:v>景区官方步道说明、登山队行程公告与主流户外社区路书，按常规体能折算。</x:v>
      </x:c>
    </x:row>
    <x:row r="20">
      <x:c r="B20" s="12" t="str">
        <x:v>重庆</x:v>
      </x:c>
      <x:c r="C20" s="27" t="n">
        <x:f>COUNTIF('山峰清单'!$E$6:$E$105,$B20)</x:f>
        <x:v>3</x:v>
      </x:c>
      <x:c r="D20" s="27" t="n">
        <x:f>COUNTIFS('山峰清单'!$E$6:$E$105,$B20,'山峰清单'!$K$6:$K$105,"极热")</x:f>
        <x:v>1</x:v>
      </x:c>
      <x:c r="E20" s="27" t="n">
        <x:f>COUNTIFS('山峰清单'!$E$6:$E$105,$B20,'山峰清单'!$K$6:$K$105,"热门")</x:f>
        <x:v>2</x:v>
      </x:c>
    </x:row>
    <x:row r="21">
      <x:c r="B21" s="12" t="str">
        <x:v>云南</x:v>
      </x:c>
      <x:c r="C21" s="27" t="n">
        <x:f>COUNTIF('山峰清单'!$E$6:$E$105,$B21)</x:f>
        <x:v>5</x:v>
      </x:c>
      <x:c r="D21" s="27" t="n">
        <x:f>COUNTIFS('山峰清单'!$E$6:$E$105,$B21,'山峰清单'!$K$6:$K$105,"极热")</x:f>
        <x:v>4</x:v>
      </x:c>
      <x:c r="E21" s="27" t="n">
        <x:f>COUNTIFS('山峰清单'!$E$6:$E$105,$B21,'山峰清单'!$K$6:$K$105,"热门")</x:f>
        <x:v>1</x:v>
      </x:c>
    </x:row>
    <x:row r="22">
      <x:c r="B22" s="12" t="str">
        <x:v>贵州</x:v>
      </x:c>
      <x:c r="C22" s="27" t="n">
        <x:f>COUNTIF('山峰清单'!$E$6:$E$105,$B22)</x:f>
        <x:v>2</x:v>
      </x:c>
      <x:c r="D22" s="27" t="n">
        <x:f>COUNTIFS('山峰清单'!$E$6:$E$105,$B22,'山峰清单'!$K$6:$K$105,"极热")</x:f>
        <x:v>1</x:v>
      </x:c>
      <x:c r="E22" s="27" t="n">
        <x:f>COUNTIFS('山峰清单'!$E$6:$E$105,$B22,'山峰清单'!$K$6:$K$105,"热门")</x:f>
        <x:v>1</x:v>
      </x:c>
    </x:row>
    <x:row r="23">
      <x:c r="B23" s="12" t="str">
        <x:v>广西</x:v>
      </x:c>
      <x:c r="C23" s="27" t="n">
        <x:f>COUNTIF('山峰清单'!$E$6:$E$105,$B23)</x:f>
        <x:v>1</x:v>
      </x:c>
      <x:c r="D23" s="27" t="n">
        <x:f>COUNTIFS('山峰清单'!$E$6:$E$105,$B23,'山峰清单'!$K$6:$K$105,"极热")</x:f>
        <x:v>0</x:v>
      </x:c>
      <x:c r="E23" s="27" t="n">
        <x:f>COUNTIFS('山峰清单'!$E$6:$E$105,$B23,'山峰清单'!$K$6:$K$105,"热门")</x:f>
        <x:v>1</x:v>
      </x:c>
    </x:row>
    <x:row r="24">
      <x:c r="B24" s="12" t="str">
        <x:v>海南</x:v>
      </x:c>
      <x:c r="C24" s="27" t="n">
        <x:f>COUNTIF('山峰清单'!$E$6:$E$105,$B24)</x:f>
        <x:v>1</x:v>
      </x:c>
      <x:c r="D24" s="27" t="n">
        <x:f>COUNTIFS('山峰清单'!$E$6:$E$105,$B24,'山峰清单'!$K$6:$K$105,"极热")</x:f>
        <x:v>0</x:v>
      </x:c>
      <x:c r="E24" s="27" t="n">
        <x:f>COUNTIFS('山峰清单'!$E$6:$E$105,$B24,'山峰清单'!$K$6:$K$105,"热门")</x:f>
        <x:v>1</x:v>
      </x:c>
    </x:row>
    <x:row r="25">
      <x:c r="B25" s="12" t="str">
        <x:v>广东</x:v>
      </x:c>
      <x:c r="C25" s="27" t="n">
        <x:f>COUNTIF('山峰清单'!$E$6:$E$105,$B25)</x:f>
        <x:v>7</x:v>
      </x:c>
      <x:c r="D25" s="27" t="n">
        <x:f>COUNTIFS('山峰清单'!$E$6:$E$105,$B25,'山峰清单'!$K$6:$K$105,"极热")</x:f>
        <x:v>3</x:v>
      </x:c>
      <x:c r="E25" s="27" t="n">
        <x:f>COUNTIFS('山峰清单'!$E$6:$E$105,$B25,'山峰清单'!$K$6:$K$105,"热门")</x:f>
        <x:v>4</x:v>
      </x:c>
    </x:row>
    <x:row r="26">
      <x:c r="B26" s="12" t="str">
        <x:v>福建</x:v>
      </x:c>
      <x:c r="C26" s="27" t="n">
        <x:f>COUNTIF('山峰清单'!$E$6:$E$105,$B26)</x:f>
        <x:v>3</x:v>
      </x:c>
      <x:c r="D26" s="27" t="n">
        <x:f>COUNTIFS('山峰清单'!$E$6:$E$105,$B26,'山峰清单'!$K$6:$K$105,"极热")</x:f>
        <x:v>1</x:v>
      </x:c>
      <x:c r="E26" s="27" t="n">
        <x:f>COUNTIFS('山峰清单'!$E$6:$E$105,$B26,'山峰清单'!$K$6:$K$105,"热门")</x:f>
        <x:v>2</x:v>
      </x:c>
    </x:row>
    <x:row r="27">
      <x:c r="B27" s="12" t="str">
        <x:v>湖南</x:v>
      </x:c>
      <x:c r="C27" s="27" t="n">
        <x:f>COUNTIF('山峰清单'!$E$6:$E$105,$B27)</x:f>
        <x:v>2</x:v>
      </x:c>
      <x:c r="D27" s="27" t="n">
        <x:f>COUNTIFS('山峰清单'!$E$6:$E$105,$B27,'山峰清单'!$K$6:$K$105,"极热")</x:f>
        <x:v>2</x:v>
      </x:c>
      <x:c r="E27" s="27" t="n">
        <x:f>COUNTIFS('山峰清单'!$E$6:$E$105,$B27,'山峰清单'!$K$6:$K$105,"热门")</x:f>
        <x:v>0</x:v>
      </x:c>
    </x:row>
    <x:row r="28">
      <x:c r="B28" s="12" t="str">
        <x:v>湖北</x:v>
      </x:c>
      <x:c r="C28" s="27" t="n">
        <x:f>COUNTIF('山峰清单'!$E$6:$E$105,$B28)</x:f>
        <x:v>4</x:v>
      </x:c>
      <x:c r="D28" s="27" t="n">
        <x:f>COUNTIFS('山峰清单'!$E$6:$E$105,$B28,'山峰清单'!$K$6:$K$105,"极热")</x:f>
        <x:v>1</x:v>
      </x:c>
      <x:c r="E28" s="27" t="n">
        <x:f>COUNTIFS('山峰清单'!$E$6:$E$105,$B28,'山峰清单'!$K$6:$K$105,"热门")</x:f>
        <x:v>2</x:v>
      </x:c>
    </x:row>
    <x:row r="29">
      <x:c r="B29" s="12" t="str">
        <x:v>江西</x:v>
      </x:c>
      <x:c r="C29" s="27" t="n">
        <x:f>COUNTIF('山峰清单'!$E$6:$E$105,$B29)</x:f>
        <x:v>5</x:v>
      </x:c>
      <x:c r="D29" s="27" t="n">
        <x:f>COUNTIFS('山峰清单'!$E$6:$E$105,$B29,'山峰清单'!$K$6:$K$105,"极热")</x:f>
        <x:v>3</x:v>
      </x:c>
      <x:c r="E29" s="27" t="n">
        <x:f>COUNTIFS('山峰清单'!$E$6:$E$105,$B29,'山峰清单'!$K$6:$K$105,"热门")</x:f>
        <x:v>2</x:v>
      </x:c>
    </x:row>
    <x:row r="30">
      <x:c r="B30" s="12" t="str">
        <x:v>安徽</x:v>
      </x:c>
      <x:c r="C30" s="27" t="n">
        <x:f>COUNTIF('山峰清单'!$E$6:$E$105,$B30)</x:f>
        <x:v>5</x:v>
      </x:c>
      <x:c r="D30" s="27" t="n">
        <x:f>COUNTIFS('山峰清单'!$E$6:$E$105,$B30,'山峰清单'!$K$6:$K$105,"极热")</x:f>
        <x:v>2</x:v>
      </x:c>
      <x:c r="E30" s="27" t="n">
        <x:f>COUNTIFS('山峰清单'!$E$6:$E$105,$B30,'山峰清单'!$K$6:$K$105,"热门")</x:f>
        <x:v>3</x:v>
      </x:c>
    </x:row>
    <x:row r="31">
      <x:c r="B31" s="12" t="str">
        <x:v>浙江</x:v>
      </x:c>
      <x:c r="C31" s="27" t="n">
        <x:f>COUNTIF('山峰清单'!$E$6:$E$105,$B31)</x:f>
        <x:v>4</x:v>
      </x:c>
      <x:c r="D31" s="27" t="n">
        <x:f>COUNTIFS('山峰清单'!$E$6:$E$105,$B31,'山峰清单'!$K$6:$K$105,"极热")</x:f>
        <x:v>2</x:v>
      </x:c>
      <x:c r="E31" s="27" t="n">
        <x:f>COUNTIFS('山峰清单'!$E$6:$E$105,$B31,'山峰清单'!$K$6:$K$105,"热门")</x:f>
        <x:v>2</x:v>
      </x:c>
    </x:row>
    <x:row r="32">
      <x:c r="B32" s="12" t="str">
        <x:v>江苏</x:v>
      </x:c>
      <x:c r="C32" s="27" t="n">
        <x:f>COUNTIF('山峰清单'!$E$6:$E$105,$B32)</x:f>
        <x:v>2</x:v>
      </x:c>
      <x:c r="D32" s="27" t="n">
        <x:f>COUNTIFS('山峰清单'!$E$6:$E$105,$B32,'山峰清单'!$K$6:$K$105,"极热")</x:f>
        <x:v>1</x:v>
      </x:c>
      <x:c r="E32" s="27" t="n">
        <x:f>COUNTIFS('山峰清单'!$E$6:$E$105,$B32,'山峰清单'!$K$6:$K$105,"热门")</x:f>
        <x:v>1</x:v>
      </x:c>
    </x:row>
    <x:row r="33">
      <x:c r="B33" s="12" t="str">
        <x:v>上海</x:v>
      </x:c>
      <x:c r="C33" s="27" t="n">
        <x:f>COUNTIF('山峰清单'!$E$6:$E$105,$B33)</x:f>
        <x:v>1</x:v>
      </x:c>
      <x:c r="D33" s="27" t="n">
        <x:f>COUNTIFS('山峰清单'!$E$6:$E$105,$B33,'山峰清单'!$K$6:$K$105,"极热")</x:f>
        <x:v>1</x:v>
      </x:c>
      <x:c r="E33" s="27" t="n">
        <x:f>COUNTIFS('山峰清单'!$E$6:$E$105,$B33,'山峰清单'!$K$6:$K$105,"热门")</x:f>
        <x:v>0</x:v>
      </x:c>
    </x:row>
    <x:row r="34">
      <x:c r="B34" s="12" t="str">
        <x:v>东北</x:v>
      </x:c>
      <x:c r="C34" s="27" t="n">
        <x:f>COUNTIF('山峰清单'!$E$6:$E$105,$B34)</x:f>
        <x:v>2</x:v>
      </x:c>
      <x:c r="D34" s="27" t="n">
        <x:f>COUNTIFS('山峰清单'!$E$6:$E$105,$B34,'山峰清单'!$K$6:$K$105,"极热")</x:f>
        <x:v>1</x:v>
      </x:c>
      <x:c r="E34" s="27" t="n">
        <x:f>COUNTIFS('山峰清单'!$E$6:$E$105,$B34,'山峰清单'!$K$6:$K$105,"热门")</x:f>
        <x:v>1</x:v>
      </x:c>
    </x:row>
    <x:row r="35">
      <x:c r="B35" s="12" t="str">
        <x:v>港澳台</x:v>
      </x:c>
      <x:c r="C35" s="27" t="n">
        <x:f>COUNTIF('山峰清单'!$E$6:$E$105,$B35)</x:f>
        <x:v>4</x:v>
      </x:c>
      <x:c r="D35" s="27" t="n">
        <x:f>COUNTIFS('山峰清单'!$E$6:$E$105,$B35,'山峰清单'!$K$6:$K$105,"极热")</x:f>
        <x:v>3</x:v>
      </x:c>
      <x:c r="E35" s="27" t="n">
        <x:f>COUNTIFS('山峰清单'!$E$6:$E$105,$B35,'山峰清单'!$K$6:$K$105,"热门")</x:f>
        <x:v>1</x:v>
      </x:c>
    </x:row>
    <x:row r="36">
      <x:c r="B36" s="28" t="str">
        <x:v>合计</x:v>
      </x:c>
      <x:c r="C36" s="29" t="n">
        <x:f>SUM(C8:C35)</x:f>
        <x:v>100</x:v>
      </x:c>
      <x:c r="D36" s="29" t="n">
        <x:f>SUM(D8:D35)</x:f>
        <x:v>43</x:v>
      </x:c>
      <x:c r="E36" s="29" t="n">
        <x:f>SUM(E8:E35)</x:f>
        <x:v>47</x:v>
      </x:c>
    </x:row>
    <x:row r="38">
      <x:c r="B38" s="24" t="str">
        <x:v>备选山峰（未进 100 座，可按需替换）</x:v>
      </x:c>
    </x:row>
    <x:row r="39">
      <x:c r="B39" s="25" t="str">
        <x:v>山峰名称</x:v>
      </x:c>
      <x:c r="C39" s="25" t="str">
        <x:v>所在地</x:v>
      </x:c>
      <x:c r="D39" s="25" t="str">
        <x:v>海拔（米）</x:v>
      </x:c>
      <x:c r="E39" s="25" t="str">
        <x:v>所属山脉</x:v>
      </x:c>
    </x:row>
    <x:row r="40">
      <x:c r="B40" s="12" t="str">
        <x:v>云蒙山</x:v>
      </x:c>
      <x:c r="C40" s="12" t="str">
        <x:v>北京 · 密云</x:v>
      </x:c>
      <x:c r="D40" s="33" t="n">
        <x:v>1414</x:v>
      </x:c>
      <x:c r="E40" s="12" t="str">
        <x:v>燕山</x:v>
      </x:c>
    </x:row>
    <x:row r="41">
      <x:c r="B41" s="12" t="str">
        <x:v>妙峰山</x:v>
      </x:c>
      <x:c r="C41" s="12" t="str">
        <x:v>北京 · 门头沟</x:v>
      </x:c>
      <x:c r="D41" s="33" t="n">
        <x:v>1291</x:v>
      </x:c>
      <x:c r="E41" s="12" t="str">
        <x:v>西山</x:v>
      </x:c>
    </x:row>
    <x:row r="42">
      <x:c r="B42" s="12" t="str">
        <x:v>洛阳白云山</x:v>
      </x:c>
      <x:c r="C42" s="12" t="str">
        <x:v>河南 · 洛阳嵩县</x:v>
      </x:c>
      <x:c r="D42" s="33" t="n">
        <x:v>2216</x:v>
      </x:c>
      <x:c r="E42" s="12" t="str">
        <x:v>伏牛山</x:v>
      </x:c>
    </x:row>
    <x:row r="43">
      <x:c r="B43" s="12" t="str">
        <x:v>莽山</x:v>
      </x:c>
      <x:c r="C43" s="12" t="str">
        <x:v>湖南 · 郴州宜章</x:v>
      </x:c>
      <x:c r="D43" s="33" t="n">
        <x:v>1902</x:v>
      </x:c>
      <x:c r="E43" s="12" t="str">
        <x:v>南岭</x:v>
      </x:c>
    </x:row>
    <x:row r="44">
      <x:c r="B44" s="12" t="str">
        <x:v>西天目山</x:v>
      </x:c>
      <x:c r="C44" s="12" t="str">
        <x:v>浙江 · 杭州临安</x:v>
      </x:c>
      <x:c r="D44" s="33" t="n">
        <x:v>1506</x:v>
      </x:c>
      <x:c r="E44" s="12" t="str">
        <x:v>天目山</x:v>
      </x:c>
    </x:row>
    <x:row r="45">
      <x:c r="B45" s="12" t="str">
        <x:v>四明山</x:v>
      </x:c>
      <x:c r="C45" s="12" t="str">
        <x:v>浙江 · 宁波余姚</x:v>
      </x:c>
      <x:c r="D45" s="33" t="n">
        <x:v>1012</x:v>
      </x:c>
      <x:c r="E45" s="12" t="str">
        <x:v>四明山</x:v>
      </x:c>
    </x:row>
    <x:row r="46">
      <x:c r="B46" s="12" t="str">
        <x:v>雷公山</x:v>
      </x:c>
      <x:c r="C46" s="12" t="str">
        <x:v>贵州 · 黔东南雷山</x:v>
      </x:c>
      <x:c r="D46" s="33" t="n">
        <x:v>2178.8</x:v>
      </x:c>
      <x:c r="E46" s="12" t="str">
        <x:v>苗岭</x:v>
      </x:c>
    </x:row>
    <x:row r="47">
      <x:c r="B47" s="12" t="str">
        <x:v>尖峰岭</x:v>
      </x:c>
      <x:c r="C47" s="12" t="str">
        <x:v>海南 · 乐东</x:v>
      </x:c>
      <x:c r="D47" s="33" t="n">
        <x:v>1412</x:v>
      </x:c>
      <x:c r="E47" s="12" t="str">
        <x:v>尖峰岭</x:v>
      </x:c>
    </x:row>
    <x:row r="48">
      <x:c r="B48" s="12" t="str">
        <x:v>高黎贡山</x:v>
      </x:c>
      <x:c r="C48" s="12" t="str">
        <x:v>云南 · 保山 / 怒江</x:v>
      </x:c>
      <x:c r="D48" s="33" t="n">
        <x:v>5128</x:v>
      </x:c>
      <x:c r="E48" s="12" t="str">
        <x:v>高黎贡山</x:v>
      </x:c>
    </x:row>
    <x:row r="49">
      <x:c r="B49" s="12" t="str">
        <x:v>老黑山</x:v>
      </x:c>
      <x:c r="C49" s="12" t="str">
        <x:v>黑龙江 · 五大连池</x:v>
      </x:c>
      <x:c r="D49" s="33" t="n">
        <x:v>515.9</x:v>
      </x:c>
      <x:c r="E49" s="12" t="str">
        <x:v>五大连池火山群</x:v>
      </x:c>
    </x:row>
  </x:sheetData>
  <x:pageMargins left="0.7" right="0.7" top="0.75" bottom="0.75" header="0.3" footer="0.3"/>
</x:worksheet>
</file>